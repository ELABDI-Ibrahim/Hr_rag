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érification Candidat" sheetId="1" state="visible" r:id="rId1"/>
    <sheet name="Instructions"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3"/>
    </font>
    <font>
      <name val="Arial"/>
      <b val="1"/>
      <color rgb="001F3864"/>
      <sz val="9"/>
    </font>
    <font>
      <name val="Arial"/>
      <b val="1"/>
      <color rgb="001F3864"/>
      <sz val="10"/>
    </font>
    <font>
      <name val="Arial"/>
      <b val="1"/>
      <color rgb="001F3864"/>
      <sz val="11"/>
    </font>
    <font>
      <name val="Arial"/>
      <b val="1"/>
      <color rgb="00FFFFFF"/>
      <sz val="9"/>
    </font>
    <font>
      <name val="Arial"/>
      <color rgb="00000000"/>
      <sz val="9"/>
    </font>
    <font>
      <name val="Arial"/>
      <b val="1"/>
      <color rgb="00276221"/>
      <sz val="9"/>
    </font>
    <font>
      <name val="Arial"/>
      <b val="1"/>
      <color rgb="009C0006"/>
      <sz val="9"/>
    </font>
    <font>
      <name val="Arial"/>
      <b val="1"/>
      <color rgb="009C5700"/>
      <sz val="9"/>
    </font>
    <font>
      <name val="Arial"/>
      <i val="1"/>
      <color rgb="00555555"/>
      <sz val="8"/>
    </font>
    <font>
      <name val="Arial"/>
      <color rgb="00222222"/>
      <sz val="10"/>
    </font>
    <font>
      <name val="Arial"/>
      <sz val="9"/>
    </font>
  </fonts>
  <fills count="9">
    <fill>
      <patternFill/>
    </fill>
    <fill>
      <patternFill patternType="gray125"/>
    </fill>
    <fill>
      <patternFill patternType="solid">
        <fgColor rgb="001F3864"/>
      </patternFill>
    </fill>
    <fill>
      <patternFill patternType="solid">
        <fgColor rgb="00D9E1F2"/>
      </patternFill>
    </fill>
    <fill>
      <patternFill patternType="solid">
        <fgColor rgb="00FFFFFF"/>
      </patternFill>
    </fill>
    <fill>
      <patternFill patternType="solid">
        <fgColor rgb="00F2F5FB"/>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bottom style="thin">
        <color rgb="00555555"/>
      </bottom>
    </border>
    <border>
      <left style="thin">
        <color rgb="00AAAAAA"/>
      </left>
      <right style="thin">
        <color rgb="00AAAAAA"/>
      </right>
      <top style="thin">
        <color rgb="00AAAAAA"/>
      </top>
      <bottom style="thin">
        <color rgb="00AAAAAA"/>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0" fillId="4" borderId="1" pivotButton="0" quotePrefix="0" xfId="0"/>
    <xf numFmtId="0" fontId="3" fillId="3" borderId="0" applyAlignment="1" pivotButton="0" quotePrefix="0" xfId="0">
      <alignment horizontal="left" vertical="center" wrapText="1"/>
    </xf>
    <xf numFmtId="0" fontId="4" fillId="3" borderId="0" applyAlignment="1" pivotButton="0" quotePrefix="0" xfId="0">
      <alignment horizontal="center" vertical="center" wrapText="1"/>
    </xf>
    <xf numFmtId="0" fontId="5" fillId="2" borderId="2" applyAlignment="1" pivotButton="0" quotePrefix="0" xfId="0">
      <alignment horizontal="center" vertical="center" wrapText="1"/>
    </xf>
    <xf numFmtId="0" fontId="2" fillId="5" borderId="2" applyAlignment="1" pivotButton="0" quotePrefix="0" xfId="0">
      <alignment horizontal="center" vertical="center"/>
    </xf>
    <xf numFmtId="0" fontId="6" fillId="5" borderId="2" applyAlignment="1" pivotButton="0" quotePrefix="0" xfId="0">
      <alignment horizontal="left" vertical="center" wrapText="1"/>
    </xf>
    <xf numFmtId="0" fontId="7" fillId="5" borderId="2" applyAlignment="1" pivotButton="0" quotePrefix="0" xfId="0">
      <alignment horizontal="center" vertical="center" wrapText="1"/>
    </xf>
    <xf numFmtId="0" fontId="6" fillId="5" borderId="2" applyAlignment="1" pivotButton="0" quotePrefix="0" xfId="0">
      <alignment horizontal="center" vertical="center" wrapText="1"/>
    </xf>
    <xf numFmtId="0" fontId="6" fillId="5" borderId="2" applyAlignment="1" pivotButton="0" quotePrefix="0" xfId="0">
      <alignment horizontal="center" vertical="center"/>
    </xf>
    <xf numFmtId="0" fontId="2" fillId="4" borderId="2" applyAlignment="1" pivotButton="0" quotePrefix="0" xfId="0">
      <alignment horizontal="center" vertical="center"/>
    </xf>
    <xf numFmtId="0" fontId="6" fillId="4" borderId="2" applyAlignment="1" pivotButton="0" quotePrefix="0" xfId="0">
      <alignment horizontal="left" vertical="center" wrapText="1"/>
    </xf>
    <xf numFmtId="0" fontId="8" fillId="4" borderId="2" applyAlignment="1" pivotButton="0" quotePrefix="0" xfId="0">
      <alignment horizontal="center" vertical="center" wrapText="1"/>
    </xf>
    <xf numFmtId="0" fontId="6" fillId="4" borderId="2" applyAlignment="1" pivotButton="0" quotePrefix="0" xfId="0">
      <alignment horizontal="center" vertical="center" wrapText="1"/>
    </xf>
    <xf numFmtId="0" fontId="6" fillId="4" borderId="2" applyAlignment="1" pivotButton="0" quotePrefix="0" xfId="0">
      <alignment horizontal="center" vertical="center"/>
    </xf>
    <xf numFmtId="0" fontId="9" fillId="4" borderId="2" applyAlignment="1" pivotButton="0" quotePrefix="0" xfId="0">
      <alignment horizontal="center" vertical="center" wrapText="1"/>
    </xf>
    <xf numFmtId="0" fontId="9" fillId="5" borderId="2" applyAlignment="1" pivotButton="0" quotePrefix="0" xfId="0">
      <alignment horizontal="center" vertical="center" wrapText="1"/>
    </xf>
    <xf numFmtId="0" fontId="7" fillId="4" borderId="2" applyAlignment="1" pivotButton="0" quotePrefix="0" xfId="0">
      <alignment horizontal="center" vertical="center" wrapText="1"/>
    </xf>
    <xf numFmtId="0" fontId="8" fillId="5" borderId="2" applyAlignment="1" pivotButton="0" quotePrefix="0" xfId="0">
      <alignment horizontal="center" vertical="center" wrapText="1"/>
    </xf>
    <xf numFmtId="0" fontId="10" fillId="3" borderId="0" applyAlignment="1" pivotButton="0" quotePrefix="0" xfId="0">
      <alignment horizontal="center" vertical="center" wrapText="1"/>
    </xf>
    <xf numFmtId="0" fontId="11" fillId="0" borderId="0" applyAlignment="1" pivotButton="0" quotePrefix="0" xfId="0">
      <alignment horizontal="left" vertical="center"/>
    </xf>
    <xf numFmtId="0" fontId="3" fillId="0" borderId="0" applyAlignment="1" pivotButton="0" quotePrefix="0" xfId="0">
      <alignment horizontal="left" vertical="center"/>
    </xf>
    <xf numFmtId="0" fontId="7" fillId="6" borderId="2" applyAlignment="1" pivotButton="0" quotePrefix="0" xfId="0">
      <alignment horizontal="center" vertical="center"/>
    </xf>
    <xf numFmtId="0" fontId="12" fillId="6" borderId="2" applyAlignment="1" pivotButton="0" quotePrefix="0" xfId="0">
      <alignment horizontal="center" vertical="center"/>
    </xf>
    <xf numFmtId="0" fontId="12" fillId="6" borderId="2" applyAlignment="1" pivotButton="0" quotePrefix="0" xfId="0">
      <alignment horizontal="left" vertical="center" wrapText="1"/>
    </xf>
    <xf numFmtId="0" fontId="8" fillId="7" borderId="2" applyAlignment="1" pivotButton="0" quotePrefix="0" xfId="0">
      <alignment horizontal="center" vertical="center"/>
    </xf>
    <xf numFmtId="0" fontId="12" fillId="7" borderId="2" applyAlignment="1" pivotButton="0" quotePrefix="0" xfId="0">
      <alignment horizontal="center" vertical="center"/>
    </xf>
    <xf numFmtId="0" fontId="12" fillId="7" borderId="2" applyAlignment="1" pivotButton="0" quotePrefix="0" xfId="0">
      <alignment horizontal="left" vertical="center" wrapText="1"/>
    </xf>
    <xf numFmtId="0" fontId="8" fillId="8" borderId="2" applyAlignment="1" pivotButton="0" quotePrefix="0" xfId="0">
      <alignment horizontal="center" vertical="center"/>
    </xf>
    <xf numFmtId="0" fontId="12" fillId="8" borderId="2" applyAlignment="1" pivotButton="0" quotePrefix="0" xfId="0">
      <alignment horizontal="center" vertical="center"/>
    </xf>
    <xf numFmtId="0" fontId="12" fillId="8" borderId="2" applyAlignment="1" pivotButton="0" quotePrefix="0" xfId="0">
      <alignment horizontal="left" vertical="center" wrapText="1"/>
    </xf>
  </cellXfs>
  <cellStyles count="1">
    <cellStyle name="Normal" xfId="0" builtinId="0" hidden="0"/>
  </cellStyles>
  <dxfs count="3">
    <dxf>
      <font>
        <name val="Arial"/>
        <b val="1"/>
        <color rgb="00276221"/>
        <sz val="9"/>
      </font>
      <fill>
        <patternFill patternType="solid">
          <fgColor rgb="00C6EFCE"/>
        </patternFill>
      </fill>
    </dxf>
    <dxf>
      <font>
        <name val="Arial"/>
        <b val="1"/>
        <color rgb="009C0006"/>
        <sz val="9"/>
      </font>
      <fill>
        <patternFill patternType="solid">
          <fgColor rgb="00FFC7CE"/>
        </patternFill>
      </fill>
    </dxf>
    <dxf>
      <font>
        <name val="Arial"/>
        <b val="1"/>
        <color rgb="009C5700"/>
        <sz val="9"/>
      </font>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7"/>
  <sheetViews>
    <sheetView showGridLines="0" workbookViewId="0">
      <selection activeCell="A1" sqref="A1"/>
    </sheetView>
  </sheetViews>
  <sheetFormatPr baseColWidth="8" defaultRowHeight="15"/>
  <cols>
    <col width="4" customWidth="1" min="1" max="1"/>
    <col width="36" customWidth="1" min="2" max="2"/>
    <col width="36" customWidth="1" min="3" max="3"/>
    <col width="16" customWidth="1" min="4" max="4"/>
    <col width="16" customWidth="1" min="5" max="5"/>
    <col width="18" customWidth="1" min="6" max="6"/>
    <col width="14" customWidth="1" min="7" max="7"/>
    <col width="14" customWidth="1" min="8" max="8"/>
    <col width="28" customWidth="1" min="9" max="9"/>
    <col width="16" customWidth="1" min="10" max="10"/>
  </cols>
  <sheetData>
    <row r="1" ht="32" customHeight="1">
      <c r="A1" s="1" t="inlineStr">
        <is>
          <t>Matrice de Vérification des Documents Candidat  |  Candidate Document Verification Matrix</t>
        </is>
      </c>
    </row>
    <row r="2" ht="22" customHeight="1">
      <c r="A2" s="2" t="inlineStr">
        <is>
          <t>Nom / Last Name:</t>
        </is>
      </c>
      <c r="B2" s="3" t="inlineStr"/>
      <c r="C2" s="2" t="inlineStr">
        <is>
          <t>Prénom / First Name:</t>
        </is>
      </c>
      <c r="D2" s="3" t="inlineStr"/>
      <c r="E2" s="2" t="inlineStr">
        <is>
          <t>Poste / Position:</t>
        </is>
      </c>
      <c r="F2" s="3" t="inlineStr"/>
      <c r="G2" s="2" t="inlineStr">
        <is>
          <t>Date entretien / Interview:</t>
        </is>
      </c>
      <c r="H2" s="3" t="inlineStr"/>
      <c r="I2" s="2" t="inlineStr">
        <is>
          <t>RH Responsable / HR Manager:</t>
        </is>
      </c>
      <c r="J2" s="3" t="inlineStr"/>
    </row>
    <row r="3" ht="6" customHeight="1"/>
    <row r="4" ht="24" customHeight="1">
      <c r="A4" s="4" t="inlineStr">
        <is>
          <t>Taux de complétion  /  Completion Rate</t>
        </is>
      </c>
      <c r="H4" s="5">
        <f>COUNTIF(E7:E26,"✅ Soumis") &amp; " / " &amp; COUNTA(A7:A26) &amp; "  (" &amp; TEXT(IFERROR(COUNTIF(E7:E26,"✅ Soumis")/COUNTA(A7:A26),0),"0%") &amp; ")"</f>
        <v/>
      </c>
    </row>
    <row r="5" ht="6" customHeight="1"/>
    <row r="6" ht="50" customHeight="1">
      <c r="A6" s="6" t="inlineStr">
        <is>
          <t>#</t>
        </is>
      </c>
      <c r="B6" s="6" t="inlineStr">
        <is>
          <t>Document (FR)</t>
        </is>
      </c>
      <c r="C6" s="6" t="inlineStr">
        <is>
          <t>Document (EN)</t>
        </is>
      </c>
      <c r="D6" s="6" t="inlineStr">
        <is>
          <t>Obligatoire?
Required?</t>
        </is>
      </c>
      <c r="E6" s="6" t="inlineStr">
        <is>
          <t>Statut
Status</t>
        </is>
      </c>
      <c r="F6" s="6" t="inlineStr">
        <is>
          <t>Vérifié par
Verified By</t>
        </is>
      </c>
      <c r="G6" s="6" t="inlineStr">
        <is>
          <t>Date de
vérification
Date Verified</t>
        </is>
      </c>
      <c r="H6" s="6" t="inlineStr">
        <is>
          <t>Date
d'expiration
Expiry Date</t>
        </is>
      </c>
      <c r="I6" s="6" t="inlineStr">
        <is>
          <t>Commentaires
Notes</t>
        </is>
      </c>
      <c r="J6" s="6" t="inlineStr">
        <is>
          <t>Alerte
Alert</t>
        </is>
      </c>
    </row>
    <row r="7" ht="30" customHeight="1">
      <c r="A7" s="7" t="n">
        <v>1</v>
      </c>
      <c r="B7" s="8" t="inlineStr">
        <is>
          <t>CV / Curriculum Vitae</t>
        </is>
      </c>
      <c r="C7" s="8" t="inlineStr">
        <is>
          <t>Resume / CV</t>
        </is>
      </c>
      <c r="D7" s="9" t="inlineStr">
        <is>
          <t>Oui / Yes</t>
        </is>
      </c>
      <c r="E7" s="24" t="inlineStr">
        <is>
          <t>✅ Soumis</t>
        </is>
      </c>
      <c r="F7" s="25" t="inlineStr">
        <is>
          <t>AI RAG System</t>
        </is>
      </c>
      <c r="G7" s="25" t="inlineStr">
        <is>
          <t>15/03/2026</t>
        </is>
      </c>
      <c r="H7" s="10" t="inlineStr"/>
      <c r="I7" s="26" t="inlineStr">
        <is>
          <t>[HIGH] Le document CV est clairement présent dans l'extrait 1, avec des informations personnelles et professionnelles détaillées, notamment le profil d'ingénieur logiciel avec 4 ans d'expérience en développement Python et architecture cloud. Les extraits 2 et 3, bien que non directement liés au CV, fournissent des informations complémentaires sur la formation académique et les compétences du candidat. [cv_martin_dupont.md, p.1]</t>
        </is>
      </c>
      <c r="J7" s="11">
        <f>IF(AND(E7&lt;&gt;"✅ Soumis",E7&lt;&gt;"N/A"),"⚠️ Action requise","✅")</f>
        <v/>
      </c>
    </row>
    <row r="8" ht="30" customHeight="1">
      <c r="A8" s="12" t="n">
        <v>2</v>
      </c>
      <c r="B8" s="13" t="inlineStr">
        <is>
          <t>Lettre de motivation</t>
        </is>
      </c>
      <c r="C8" s="13" t="inlineStr">
        <is>
          <t>Cover Letter</t>
        </is>
      </c>
      <c r="D8" s="14" t="inlineStr">
        <is>
          <t>Non / No</t>
        </is>
      </c>
      <c r="E8" s="24" t="inlineStr">
        <is>
          <t>✅ Soumis</t>
        </is>
      </c>
      <c r="F8" s="25" t="inlineStr">
        <is>
          <t>AI RAG System</t>
        </is>
      </c>
      <c r="G8" s="25" t="inlineStr">
        <is>
          <t>15/03/2026</t>
        </is>
      </c>
      <c r="H8" s="15" t="inlineStr"/>
      <c r="I8" s="26" t="inlineStr">
        <is>
          <t>[HIGH] Le document "Lettre de Motivation" est clairement présent dans l'extrait 1, avec les détails tels que l'objet, la candidature, le poste, et la signature du candidat Martin Dupont. Les informations fournies correspondent parfaitement aux exigences d'une lettre de motivation. [lettre_motivation.md, p.1]</t>
        </is>
      </c>
      <c r="J8" s="16">
        <f>IF(E8="❌ Manquant","⚠️ Vérifier","")</f>
        <v/>
      </c>
    </row>
    <row r="9" ht="30" customHeight="1">
      <c r="A9" s="7" t="n">
        <v>3</v>
      </c>
      <c r="B9" s="8" t="inlineStr">
        <is>
          <t>Pièce d'identité (CNI ou Passeport)</t>
        </is>
      </c>
      <c r="C9" s="8" t="inlineStr">
        <is>
          <t>ID Card or Passport</t>
        </is>
      </c>
      <c r="D9" s="9" t="inlineStr">
        <is>
          <t>Oui / Yes</t>
        </is>
      </c>
      <c r="E9" s="27" t="inlineStr">
        <is>
          <t>❌ Manquant</t>
        </is>
      </c>
      <c r="F9" s="28" t="inlineStr">
        <is>
          <t>AI RAG System</t>
        </is>
      </c>
      <c r="G9" s="28" t="inlineStr">
        <is>
          <t>15/03/2026</t>
        </is>
      </c>
      <c r="H9" s="10" t="inlineStr"/>
      <c r="I9" s="29" t="inlineStr">
        <is>
          <t>[LOW] Aucun extrait fourni ne correspond clairement à une pièce d'identité (CNI ou passeport). Les extraits trouvés concernent un diplôme, une attestation de droits à l'assurance maladie et un casier judiciaire, mais aucun de ces documents ne remplit les critères d'une pièce d'identité. [No matching document found]</t>
        </is>
      </c>
      <c r="J9" s="11">
        <f>IF(AND(E9&lt;&gt;"✅ Soumis",E9&lt;&gt;"N/A"),"⚠️ Action requise","✅")</f>
        <v/>
      </c>
    </row>
    <row r="10" ht="30" customHeight="1">
      <c r="A10" s="12" t="n">
        <v>4</v>
      </c>
      <c r="B10" s="13" t="inlineStr">
        <is>
          <t>Titre de séjour (hors UE)</t>
        </is>
      </c>
      <c r="C10" s="13" t="inlineStr">
        <is>
          <t>Residence Permit (non-EU)</t>
        </is>
      </c>
      <c r="D10" s="17" t="inlineStr">
        <is>
          <t>Si applicable
If applicable</t>
        </is>
      </c>
      <c r="E10" s="30" t="inlineStr">
        <is>
          <t>N/A</t>
        </is>
      </c>
      <c r="F10" s="31" t="inlineStr">
        <is>
          <t>AI RAG System</t>
        </is>
      </c>
      <c r="G10" s="31" t="inlineStr">
        <is>
          <t>15/03/2026</t>
        </is>
      </c>
      <c r="H10" s="15" t="inlineStr"/>
      <c r="I10" s="32" t="inlineStr">
        <is>
          <t>[LOW] Aucun des extraits fournis ne mentionne explicitement un Titre de séjour ou une carte de séjour, les documents trouvés sont une Carte Nationale d'Identite et des contrats de prestation de services, qui ne correspondent pas au document recherché. [No matching document found]</t>
        </is>
      </c>
      <c r="J10" s="16">
        <f>IF(E10="❌ Manquant","⚠️ Vérifier","")</f>
        <v/>
      </c>
    </row>
    <row r="11" ht="30" customHeight="1">
      <c r="A11" s="7" t="n">
        <v>5</v>
      </c>
      <c r="B11" s="8" t="inlineStr">
        <is>
          <t>Autorisation de travail</t>
        </is>
      </c>
      <c r="C11" s="8" t="inlineStr">
        <is>
          <t>Work Permit / Authorization</t>
        </is>
      </c>
      <c r="D11" s="18" t="inlineStr">
        <is>
          <t>Si applicable
If applicable</t>
        </is>
      </c>
      <c r="E11" s="30" t="inlineStr">
        <is>
          <t>N/A</t>
        </is>
      </c>
      <c r="F11" s="31" t="inlineStr">
        <is>
          <t>AI RAG System</t>
        </is>
      </c>
      <c r="G11" s="31" t="inlineStr">
        <is>
          <t>15/03/2026</t>
        </is>
      </c>
      <c r="H11" s="10" t="inlineStr"/>
      <c r="I11" s="32" t="inlineStr">
        <is>
          <t>[LOW] Aucun des extraits fournis ne contient d'informations spécifiques sur une autorisation de travail, telles que des dates de début et de fin, un numéro de sécurité sociale, un salaire, des conditions de travail ou des mentions légales. Les extraits semblent être des parties d'un règlement intérieur d'une entreprise, sans lien direct avec un document d'autorisation de travail. [No matching document found]</t>
        </is>
      </c>
      <c r="J11" s="11">
        <f>IF(E11="❌ Manquant","⚠️ Vérifier","")</f>
        <v/>
      </c>
    </row>
    <row r="12" ht="30" customHeight="1">
      <c r="A12" s="12" t="n">
        <v>6</v>
      </c>
      <c r="B12" s="13" t="inlineStr">
        <is>
          <t>Numéro de Sécurité Sociale / Carte Vitale</t>
        </is>
      </c>
      <c r="C12" s="13" t="inlineStr">
        <is>
          <t>Social Security Number / Health Card</t>
        </is>
      </c>
      <c r="D12" s="19" t="inlineStr">
        <is>
          <t>Oui / Yes</t>
        </is>
      </c>
      <c r="E12" s="24" t="inlineStr">
        <is>
          <t>✅ Soumis</t>
        </is>
      </c>
      <c r="F12" s="25" t="inlineStr">
        <is>
          <t>AI RAG System</t>
        </is>
      </c>
      <c r="G12" s="25" t="inlineStr">
        <is>
          <t>15/03/2026</t>
        </is>
      </c>
      <c r="H12" s="15" t="inlineStr"/>
      <c r="I12" s="26" t="inlineStr">
        <is>
          <t>[HIGH] Le document contient clairement le numéro de Sécurité Sociale (1 95 03 69 123 456 78) ainsi que d'autres informations personnelles telles que la date de naissance et le nom du titulaire, ce qui correspond aux critères de recherche pour un Numéro de Sécurité Sociale / Carte Vitale. [securite_sociale_martin_dupont.md, p.1]</t>
        </is>
      </c>
      <c r="J12" s="16">
        <f>IF(AND(E12&lt;&gt;"✅ Soumis",E12&lt;&gt;"N/A"),"⚠️ Action requise","✅")</f>
        <v/>
      </c>
    </row>
    <row r="13" ht="30" customHeight="1">
      <c r="A13" s="7" t="n">
        <v>7</v>
      </c>
      <c r="B13" s="8" t="inlineStr">
        <is>
          <t>Diplômes &amp; Certificats</t>
        </is>
      </c>
      <c r="C13" s="8" t="inlineStr">
        <is>
          <t>Degrees &amp; Certificates</t>
        </is>
      </c>
      <c r="D13" s="9" t="inlineStr">
        <is>
          <t>Oui / Yes</t>
        </is>
      </c>
      <c r="E13" s="24" t="inlineStr">
        <is>
          <t>✅ Soumis</t>
        </is>
      </c>
      <c r="F13" s="25" t="inlineStr">
        <is>
          <t>AI RAG System</t>
        </is>
      </c>
      <c r="G13" s="25" t="inlineStr">
        <is>
          <t>15/03/2026</t>
        </is>
      </c>
      <c r="H13" s="10" t="inlineStr"/>
      <c r="I13" s="26" t="inlineStr">
        <is>
          <t>[HIGH] Le document est clairement présent dans l'extrait 1, qui est un diplôme de master en informatique délivré par l'Université Paris-Saclay. Les détails clés tels que le nom du diplôme, la mention, la spécialité et la date de délivrance sont tous présents. [diplome_master_informatique.md, p.1]</t>
        </is>
      </c>
      <c r="J13" s="11">
        <f>IF(AND(E13&lt;&gt;"✅ Soumis",E13&lt;&gt;"N/A"),"⚠️ Action requise","✅")</f>
        <v/>
      </c>
    </row>
    <row r="14" ht="30" customHeight="1">
      <c r="A14" s="12" t="n">
        <v>8</v>
      </c>
      <c r="B14" s="13" t="inlineStr">
        <is>
          <t>Attestation(s) de stage</t>
        </is>
      </c>
      <c r="C14" s="13" t="inlineStr">
        <is>
          <t>Internship Certificate(s)</t>
        </is>
      </c>
      <c r="D14" s="14" t="inlineStr">
        <is>
          <t>Non / No</t>
        </is>
      </c>
      <c r="E14" s="24" t="inlineStr">
        <is>
          <t>✅ Soumis</t>
        </is>
      </c>
      <c r="F14" s="25" t="inlineStr">
        <is>
          <t>AI RAG System</t>
        </is>
      </c>
      <c r="G14" s="25" t="inlineStr">
        <is>
          <t>15/03/2026</t>
        </is>
      </c>
      <c r="H14" s="15" t="inlineStr"/>
      <c r="I14" s="26" t="inlineStr">
        <is>
          <t>[HIGH] L'extrait 1 du fichier attestation_stage_startupai.md contient clairement une attestation de stage pour Monsieur DUPONT Martin, avec les détails du stage, y compris la période, le lieu, les tâches effectuées et l'évaluation du stagiaire. Les informations fournies correspondent aux mots-clés typiques à rechercher pour une attestation de stage. [attestation_stage_startupai.md, p.1]</t>
        </is>
      </c>
      <c r="J14" s="16">
        <f>IF(E14="❌ Manquant","⚠️ Vérifier","")</f>
        <v/>
      </c>
    </row>
    <row r="15" ht="30" customHeight="1">
      <c r="A15" s="7" t="n">
        <v>9</v>
      </c>
      <c r="B15" s="8" t="inlineStr">
        <is>
          <t>Attestations d'emploi précédents</t>
        </is>
      </c>
      <c r="C15" s="8" t="inlineStr">
        <is>
          <t>Previous Employment Certificates</t>
        </is>
      </c>
      <c r="D15" s="9" t="inlineStr">
        <is>
          <t>Oui / Yes</t>
        </is>
      </c>
      <c r="E15" s="27" t="inlineStr">
        <is>
          <t>❌ Manquant</t>
        </is>
      </c>
      <c r="F15" s="28" t="inlineStr">
        <is>
          <t>AI RAG System</t>
        </is>
      </c>
      <c r="G15" s="28" t="inlineStr">
        <is>
          <t>15/03/2026</t>
        </is>
      </c>
      <c r="H15" s="10" t="inlineStr"/>
      <c r="I15" s="29" t="inlineStr">
        <is>
          <t>[LOW] Les extraits fournis ne contiennent pas d'attestation d'emploi précédent. Les documents trouvés sont un contrat de travail et des extraits de règlement intérieur, qui ne correspondent pas au type de document recherché. [No matching document found]</t>
        </is>
      </c>
      <c r="J15" s="11">
        <f>IF(AND(E15&lt;&gt;"✅ Soumis",E15&lt;&gt;"N/A"),"⚠️ Action requise","✅")</f>
        <v/>
      </c>
    </row>
    <row r="16" ht="30" customHeight="1">
      <c r="A16" s="12" t="n">
        <v>10</v>
      </c>
      <c r="B16" s="13" t="inlineStr">
        <is>
          <t>Justificatif de domicile (&lt; 3 mois)</t>
        </is>
      </c>
      <c r="C16" s="13" t="inlineStr">
        <is>
          <t>Proof of Address (&lt; 3 months)</t>
        </is>
      </c>
      <c r="D16" s="19" t="inlineStr">
        <is>
          <t>Oui / Yes</t>
        </is>
      </c>
      <c r="E16" s="27" t="inlineStr">
        <is>
          <t>❌ Manquant</t>
        </is>
      </c>
      <c r="F16" s="28" t="inlineStr">
        <is>
          <t>AI RAG System</t>
        </is>
      </c>
      <c r="G16" s="28" t="inlineStr">
        <is>
          <t>15/03/2026</t>
        </is>
      </c>
      <c r="H16" s="15" t="inlineStr"/>
      <c r="I16" s="29" t="inlineStr">
        <is>
          <t>[LOW] Aucun des extraits fournis ne contient de justificatif de domicile. Les extraits concernent un contrat de travail, un diplôme et un plan de formation, mais aucun d'entre eux ne fournit d'information sur l'adresse du candidat. [No matching document found]</t>
        </is>
      </c>
      <c r="J16" s="16">
        <f>IF(AND(E16&lt;&gt;"✅ Soumis",E16&lt;&gt;"N/A"),"⚠️ Action requise","✅")</f>
        <v/>
      </c>
    </row>
    <row r="17" ht="30" customHeight="1">
      <c r="A17" s="7" t="n">
        <v>11</v>
      </c>
      <c r="B17" s="8" t="inlineStr">
        <is>
          <t>RIB — Relevé d'Identité Bancaire</t>
        </is>
      </c>
      <c r="C17" s="8" t="inlineStr">
        <is>
          <t>Bank Account Details (IBAN)</t>
        </is>
      </c>
      <c r="D17" s="9" t="inlineStr">
        <is>
          <t>Oui / Yes</t>
        </is>
      </c>
      <c r="E17" s="24" t="inlineStr">
        <is>
          <t>✅ Soumis</t>
        </is>
      </c>
      <c r="F17" s="25" t="inlineStr">
        <is>
          <t>AI RAG System</t>
        </is>
      </c>
      <c r="G17" s="25" t="inlineStr">
        <is>
          <t>15/03/2026</t>
        </is>
      </c>
      <c r="H17" s="10" t="inlineStr"/>
      <c r="I17" s="26" t="inlineStr">
        <is>
          <t>[HIGH] Le document Relevé d'Identité Bancaire (RIB) est clairement présent dans l'extrait 1, avec les informations bancaires complètes du titulaire, y compris l'IBAN, le BIC, le code banque, le code guichet, le numéro de compte et la clé RIB. [rib_credit_agricole.md, p.1]</t>
        </is>
      </c>
      <c r="J17" s="11">
        <f>IF(AND(E17&lt;&gt;"✅ Soumis",E17&lt;&gt;"N/A"),"⚠️ Action requise","✅")</f>
        <v/>
      </c>
    </row>
    <row r="18" ht="30" customHeight="1">
      <c r="A18" s="12" t="n">
        <v>12</v>
      </c>
      <c r="B18" s="13" t="inlineStr">
        <is>
          <t>Extrait de casier judiciaire (B3)</t>
        </is>
      </c>
      <c r="C18" s="13" t="inlineStr">
        <is>
          <t>Criminal Record Check</t>
        </is>
      </c>
      <c r="D18" s="19" t="inlineStr">
        <is>
          <t>Oui / Yes</t>
        </is>
      </c>
      <c r="E18" s="24" t="inlineStr">
        <is>
          <t>✅ Soumis</t>
        </is>
      </c>
      <c r="F18" s="25" t="inlineStr">
        <is>
          <t>AI RAG System</t>
        </is>
      </c>
      <c r="G18" s="25" t="inlineStr">
        <is>
          <t>15/03/2026</t>
        </is>
      </c>
      <c r="H18" s="15" t="inlineStr"/>
      <c r="I18" s="26" t="inlineStr">
        <is>
          <t>[HIGH] Le document est clairement présent dans l'extrait 1, avec les mentions "Casier Judiciaire National", "Ministere de la Justice", et les informations personnelles du demandeur, ainsi que le résultat du casier judiciaire. Cependant, il est noté que le document a expiré le 15 janvier 2025. [casier_judiciaire_b3.md, p.1]</t>
        </is>
      </c>
      <c r="J18" s="16">
        <f>IF(AND(E18&lt;&gt;"✅ Soumis",E18&lt;&gt;"N/A"),"⚠️ Action requise","✅")</f>
        <v/>
      </c>
    </row>
    <row r="19" ht="30" customHeight="1">
      <c r="A19" s="7" t="n">
        <v>13</v>
      </c>
      <c r="B19" s="8" t="inlineStr">
        <is>
          <t>Lettre(s) de recommandation</t>
        </is>
      </c>
      <c r="C19" s="8" t="inlineStr">
        <is>
          <t>Reference / Recommendation Letter(s)</t>
        </is>
      </c>
      <c r="D19" s="20" t="inlineStr">
        <is>
          <t>Non / No</t>
        </is>
      </c>
      <c r="E19" s="30" t="inlineStr">
        <is>
          <t>N/A</t>
        </is>
      </c>
      <c r="F19" s="31" t="inlineStr">
        <is>
          <t>AI RAG System</t>
        </is>
      </c>
      <c r="G19" s="31" t="inlineStr">
        <is>
          <t>15/03/2026</t>
        </is>
      </c>
      <c r="H19" s="10" t="inlineStr"/>
      <c r="I19" s="32" t="inlineStr">
        <is>
          <t>[LOW] Aucun extrait fourni ne correspond clairement à une lettre de recommandation. Les extraits trouvés incluent un contrat de prestation de services, une lettre de motivation et un diplôme universitaire, mais aucun d'entre eux ne remplit les critères d'une lettre de recommandation. [No matching document found]</t>
        </is>
      </c>
      <c r="J19" s="11">
        <f>IF(E19="❌ Manquant","⚠️ Vérifier","")</f>
        <v/>
      </c>
    </row>
    <row r="20" ht="30" customHeight="1">
      <c r="A20" s="12" t="n">
        <v>14</v>
      </c>
      <c r="B20" s="13" t="inlineStr">
        <is>
          <t>Résultats de la vérification des antécédents</t>
        </is>
      </c>
      <c r="C20" s="13" t="inlineStr">
        <is>
          <t>Background Check Results</t>
        </is>
      </c>
      <c r="D20" s="19" t="inlineStr">
        <is>
          <t>Oui / Yes</t>
        </is>
      </c>
      <c r="E20" s="27" t="inlineStr">
        <is>
          <t>❌ Manquant</t>
        </is>
      </c>
      <c r="F20" s="28" t="inlineStr">
        <is>
          <t>AI RAG System</t>
        </is>
      </c>
      <c r="G20" s="28" t="inlineStr">
        <is>
          <t>15/03/2026</t>
        </is>
      </c>
      <c r="H20" s="15" t="inlineStr"/>
      <c r="I20" s="29" t="inlineStr">
        <is>
          <t>[LOW] Aucun des extraits fournis ne contient des informations relatives aux résultats de la vérification des antécédents, tels que des mentions légales, des informations personnelles ou un historique professionnel. Les extraits se concentrent sur la politique de sécurité informatique, ce qui n'est pas pertinent pour la vérification des antécédents. [No matching document found]</t>
        </is>
      </c>
      <c r="J20" s="16">
        <f>IF(AND(E20&lt;&gt;"✅ Soumis",E20&lt;&gt;"N/A"),"⚠️ Action requise","✅")</f>
        <v/>
      </c>
    </row>
    <row r="21" ht="30" customHeight="1">
      <c r="A21" s="7" t="n">
        <v>15</v>
      </c>
      <c r="B21" s="8" t="inlineStr">
        <is>
          <t>Photo d'identité</t>
        </is>
      </c>
      <c r="C21" s="8" t="inlineStr">
        <is>
          <t>Passport-size Photo</t>
        </is>
      </c>
      <c r="D21" s="9" t="inlineStr">
        <is>
          <t>Oui / Yes</t>
        </is>
      </c>
      <c r="E21" s="27" t="inlineStr">
        <is>
          <t>❌ Manquant</t>
        </is>
      </c>
      <c r="F21" s="28" t="inlineStr">
        <is>
          <t>AI RAG System</t>
        </is>
      </c>
      <c r="G21" s="28" t="inlineStr">
        <is>
          <t>15/03/2026</t>
        </is>
      </c>
      <c r="H21" s="10" t="inlineStr"/>
      <c r="I21" s="29" t="inlineStr">
        <is>
          <t>[LOW] Aucun des extraits fournis ne contient de photo d'identité ou de mention d'une photo d'identité. Les extraits concernent un casier judiciaire, un contrat de travail et un règlement intérieur, mais aucun d'entre eux ne correspond au document recherché, qui est une photo d'identité. [No matching document found]</t>
        </is>
      </c>
      <c r="J21" s="11">
        <f>IF(AND(E21&lt;&gt;"✅ Soumis",E21&lt;&gt;"N/A"),"⚠️ Action requise","✅")</f>
        <v/>
      </c>
    </row>
    <row r="22" ht="30" customHeight="1">
      <c r="A22" s="12" t="n">
        <v>16</v>
      </c>
      <c r="B22" s="13" t="inlineStr">
        <is>
          <t>Carte de visite professionnelle</t>
        </is>
      </c>
      <c r="C22" s="13" t="inlineStr">
        <is>
          <t>Professional Business Card</t>
        </is>
      </c>
      <c r="D22" s="14" t="inlineStr">
        <is>
          <t>Non / No</t>
        </is>
      </c>
      <c r="E22" s="30" t="inlineStr">
        <is>
          <t>N/A</t>
        </is>
      </c>
      <c r="F22" s="31" t="inlineStr">
        <is>
          <t>AI RAG System</t>
        </is>
      </c>
      <c r="G22" s="31" t="inlineStr">
        <is>
          <t>15/03/2026</t>
        </is>
      </c>
      <c r="H22" s="15" t="inlineStr"/>
      <c r="I22" s="32" t="inlineStr">
        <is>
          <t>[LOW] Aucun des extraits fournis ne correspond clairement a une carte de visite professionnelle. Les extraits concernent des documents relatifs a la securite sociale, a une fiche de contact d'urgence et a une lettre de motivation, mais aucun d'entre eux ne presente les informations typiques d'une carte de visite professionnelle comme le nom, la fonction, la societe, l'adresse, le telephone, l'email, etc. [No matching document found]</t>
        </is>
      </c>
      <c r="J22" s="16">
        <f>IF(E22="❌ Manquant","⚠️ Vérifier","")</f>
        <v/>
      </c>
    </row>
    <row r="23" ht="30" customHeight="1">
      <c r="A23" s="7" t="n">
        <v>17</v>
      </c>
      <c r="B23" s="8" t="inlineStr">
        <is>
          <t>Convention NDA / Confidentialité</t>
        </is>
      </c>
      <c r="C23" s="8" t="inlineStr">
        <is>
          <t>NDA / Confidentiality Agreement</t>
        </is>
      </c>
      <c r="D23" s="9" t="inlineStr">
        <is>
          <t>Oui / Yes</t>
        </is>
      </c>
      <c r="E23" s="27" t="inlineStr">
        <is>
          <t>❌ Manquant</t>
        </is>
      </c>
      <c r="F23" s="28" t="inlineStr">
        <is>
          <t>AI RAG System</t>
        </is>
      </c>
      <c r="G23" s="28" t="inlineStr">
        <is>
          <t>15/03/2026</t>
        </is>
      </c>
      <c r="H23" s="10" t="inlineStr"/>
      <c r="I23" s="29" t="inlineStr">
        <is>
          <t>[LOW] Aucun des extraits fournis ne contient de mention explicite d'un accord de non-divulgation (NDA) ou de confidentialité. Les documents trouvés concernent un contrat de travail et un contrat de prestation de services, ainsi qu'un diplôme universitaire, mais aucun d'entre eux ne correspond au type de document recherché. [No matching document found]</t>
        </is>
      </c>
      <c r="J23" s="11">
        <f>IF(AND(E23&lt;&gt;"✅ Soumis",E23&lt;&gt;"N/A"),"⚠️ Action requise","✅")</f>
        <v/>
      </c>
    </row>
    <row r="24" ht="30" customHeight="1">
      <c r="A24" s="12" t="n">
        <v>18</v>
      </c>
      <c r="B24" s="13" t="inlineStr">
        <is>
          <t>Certificat médical d'aptitude</t>
        </is>
      </c>
      <c r="C24" s="13" t="inlineStr">
        <is>
          <t>Medical Fitness Certificate</t>
        </is>
      </c>
      <c r="D24" s="17" t="inlineStr">
        <is>
          <t>Si applicable
If applicable</t>
        </is>
      </c>
      <c r="E24" s="30" t="inlineStr">
        <is>
          <t>N/A</t>
        </is>
      </c>
      <c r="F24" s="31" t="inlineStr">
        <is>
          <t>AI RAG System</t>
        </is>
      </c>
      <c r="G24" s="31" t="inlineStr">
        <is>
          <t>15/03/2026</t>
        </is>
      </c>
      <c r="H24" s="15" t="inlineStr"/>
      <c r="I24" s="32" t="inlineStr">
        <is>
          <t>[LOW] Aucun des extraits fournis ne contient de certificat médical d'aptitude ou de document similaire. Les extraits proviennent tous d'un règlement intérieur et concernent les horaires de travail, les congés payés et les absences, sans mentionner de certificat médical. [No matching document found]</t>
        </is>
      </c>
      <c r="J24" s="16">
        <f>IF(E24="❌ Manquant","⚠️ Vérifier","")</f>
        <v/>
      </c>
    </row>
    <row r="25" ht="30" customHeight="1">
      <c r="A25" s="7" t="n">
        <v>19</v>
      </c>
      <c r="B25" s="8" t="inlineStr">
        <is>
          <t>Contrat de travail signé</t>
        </is>
      </c>
      <c r="C25" s="8" t="inlineStr">
        <is>
          <t>Signed Employment Contract</t>
        </is>
      </c>
      <c r="D25" s="9" t="inlineStr">
        <is>
          <t>Oui / Yes</t>
        </is>
      </c>
      <c r="E25" s="24" t="inlineStr">
        <is>
          <t>✅ Soumis</t>
        </is>
      </c>
      <c r="F25" s="25" t="inlineStr">
        <is>
          <t>AI RAG System</t>
        </is>
      </c>
      <c r="G25" s="25" t="inlineStr">
        <is>
          <t>15/03/2026</t>
        </is>
      </c>
      <c r="H25" s="10" t="inlineStr"/>
      <c r="I25" s="26" t="inlineStr">
        <is>
          <t>[HIGH] Le document contient des éléments clés tels que la durée du travail, le lieu de travail, la période d'essai, les obligations de confidentialité et les signatures du salarié et de l'employeur, ce qui correspond clairement à un contrat de travail signé. La date d'entrée en vigueur et les détails sur les parties sont également présents. [contrat_travail_signe.md, p.2]</t>
        </is>
      </c>
      <c r="J25" s="11">
        <f>IF(AND(E25&lt;&gt;"✅ Soumis",E25&lt;&gt;"N/A"),"⚠️ Action requise","✅")</f>
        <v/>
      </c>
    </row>
    <row r="26" ht="30" customHeight="1">
      <c r="A26" s="12" t="n">
        <v>20</v>
      </c>
      <c r="B26" s="13" t="inlineStr">
        <is>
          <t>Informations de contact d'urgence</t>
        </is>
      </c>
      <c r="C26" s="13" t="inlineStr">
        <is>
          <t>Emergency Contact Information</t>
        </is>
      </c>
      <c r="D26" s="19" t="inlineStr">
        <is>
          <t>Oui / Yes</t>
        </is>
      </c>
      <c r="E26" s="24" t="inlineStr">
        <is>
          <t>✅ Soumis</t>
        </is>
      </c>
      <c r="F26" s="25" t="inlineStr">
        <is>
          <t>AI RAG System</t>
        </is>
      </c>
      <c r="G26" s="25" t="inlineStr">
        <is>
          <t>15/03/2026</t>
        </is>
      </c>
      <c r="H26" s="15" t="inlineStr"/>
      <c r="I26" s="26" t="inlineStr">
        <is>
          <t>[HIGH] Le document contient clairement les informations de contact d'urgence du salarié, y compris les coordonnées de ses contacts principaux et secondaires, ainsi que celles de son médecin traitant. Les détails tels que les noms, prénoms, adresses, numéros de téléphone et adresses e-mail sont présents. [contact_urgence.md, p.1]</t>
        </is>
      </c>
      <c r="J26" s="16">
        <f>IF(AND(E26&lt;&gt;"✅ Soumis",E26&lt;&gt;"N/A"),"⚠️ Action requise","✅")</f>
        <v/>
      </c>
    </row>
    <row r="27" ht="18" customHeight="1">
      <c r="A27" s="21" t="inlineStr">
        <is>
          <t>Statuts / Statuses :   ✅ Soumis (Submitted)   |   ⏳ En attente (Pending)   |   ❌ Manquant (Missing)   |   N/A (Non applicable)</t>
        </is>
      </c>
    </row>
  </sheetData>
  <mergeCells count="8">
    <mergeCell ref="A1:J1"/>
    <mergeCell ref="A27:J27"/>
    <mergeCell ref="A4:G4"/>
    <mergeCell ref="H4:J4"/>
    <mergeCell ref="A2"/>
    <mergeCell ref="B2"/>
    <mergeCell ref="D2"/>
    <mergeCell ref="C2"/>
  </mergeCells>
  <conditionalFormatting sqref="E7:E26">
    <cfRule type="expression" priority="1" dxfId="0">
      <formula>E7="✅ Soumis"</formula>
    </cfRule>
    <cfRule type="expression" priority="2" dxfId="1">
      <formula>E7="❌ Manquant"</formula>
    </cfRule>
    <cfRule type="expression" priority="3" dxfId="2">
      <formula>E7="⏳ En attente"</formula>
    </cfRule>
  </conditionalFormatting>
  <conditionalFormatting sqref="J7:J26">
    <cfRule type="expression" priority="4" dxfId="1">
      <formula>J7="⚠️ Action requise"</formula>
    </cfRule>
    <cfRule type="expression" priority="5" dxfId="0">
      <formula>J7="✅"</formula>
    </cfRule>
  </conditionalFormatting>
  <dataValidations count="1">
    <dataValidation sqref="E7:E26" showDropDown="0" showInputMessage="0" showErrorMessage="0" allowBlank="1" type="list">
      <formula1>"✅ Soumis,⏳ En attente,❌ Manquant,N/A"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60" customWidth="1" min="1" max="1"/>
    <col width="4" customWidth="1" min="2" max="2"/>
    <col width="60" customWidth="1" min="3" max="3"/>
  </cols>
  <sheetData>
    <row r="1" ht="30" customHeight="1">
      <c r="A1" s="1" t="inlineStr">
        <is>
          <t>Guide d'utilisation  |  User Guide</t>
        </is>
      </c>
    </row>
    <row r="3" ht="18" customHeight="1">
      <c r="A3" s="22" t="inlineStr"/>
      <c r="C3" s="22" t="inlineStr"/>
    </row>
    <row r="4" ht="18" customHeight="1">
      <c r="A4" s="23" t="inlineStr">
        <is>
          <t>🇫🇷  Comment utiliser ce fichier</t>
        </is>
      </c>
      <c r="C4" s="23" t="inlineStr">
        <is>
          <t>🇬🇧  How to use this file</t>
        </is>
      </c>
    </row>
    <row r="5" ht="18" customHeight="1">
      <c r="A5" s="22" t="inlineStr"/>
      <c r="C5" s="22" t="inlineStr"/>
    </row>
    <row r="6" ht="18" customHeight="1">
      <c r="A6" s="22" t="inlineStr">
        <is>
          <t>1. Remplissez les infos candidat en haut (ligne 2)</t>
        </is>
      </c>
      <c r="C6" s="22" t="inlineStr">
        <is>
          <t>1. Fill in candidate info at the top (row 2)</t>
        </is>
      </c>
    </row>
    <row r="7" ht="18" customHeight="1">
      <c r="A7" s="22" t="inlineStr">
        <is>
          <t>2. Pour chaque document, sélectionnez le Statut dans la colonne E (liste déroulante)</t>
        </is>
      </c>
      <c r="C7" s="22" t="inlineStr">
        <is>
          <t>2. For each document, select the Status in column E (dropdown)</t>
        </is>
      </c>
    </row>
    <row r="8" ht="18" customHeight="1">
      <c r="A8" s="22" t="inlineStr">
        <is>
          <t>3. Indiquez votre nom dans 'Vérifié par' et la date de vérification</t>
        </is>
      </c>
      <c r="C8" s="22" t="inlineStr">
        <is>
          <t>3. Enter your name in 'Verified By' and the verification date</t>
        </is>
      </c>
    </row>
    <row r="9" ht="18" customHeight="1">
      <c r="A9" s="22" t="inlineStr">
        <is>
          <t>4. Ajoutez une date d'expiration si le document a une validité limitée</t>
        </is>
      </c>
      <c r="C9" s="22" t="inlineStr">
        <is>
          <t>4. Add an expiry date if the document has limited validity</t>
        </is>
      </c>
    </row>
    <row r="10" ht="18" customHeight="1">
      <c r="A10" s="22" t="inlineStr">
        <is>
          <t>5. Utilisez la colonne Commentaires pour tout remarque (ex: 'Expiré', 'Incomplet')</t>
        </is>
      </c>
      <c r="C10" s="22" t="inlineStr">
        <is>
          <t>5. Use the Notes column for any remarks (e.g. 'Expired', 'Incomplete')</t>
        </is>
      </c>
    </row>
    <row r="11" ht="18" customHeight="1">
      <c r="A11" s="22" t="inlineStr">
        <is>
          <t>6. La colonne Alerte se met à jour automatiquement</t>
        </is>
      </c>
      <c r="C11" s="22" t="inlineStr">
        <is>
          <t>6. The Alert column updates automatically</t>
        </is>
      </c>
    </row>
    <row r="12" ht="18" customHeight="1">
      <c r="A12" s="22" t="inlineStr">
        <is>
          <t>7. Le taux de complétion en haut se calcule automatiquement</t>
        </is>
      </c>
      <c r="C12" s="22" t="inlineStr">
        <is>
          <t>7. The completion rate at the top is auto-calculated</t>
        </is>
      </c>
    </row>
    <row r="13" ht="18" customHeight="1">
      <c r="A13" s="22" t="inlineStr"/>
      <c r="C13" s="22" t="inlineStr"/>
    </row>
    <row r="14" ht="18" customHeight="1">
      <c r="A14" s="23" t="inlineStr">
        <is>
          <t>📋  Valeurs de Statut disponibles</t>
        </is>
      </c>
      <c r="C14" s="23" t="inlineStr">
        <is>
          <t>📋  Available Status values</t>
        </is>
      </c>
    </row>
    <row r="15" ht="18" customHeight="1">
      <c r="A15" s="22" t="inlineStr"/>
      <c r="C15" s="22" t="inlineStr"/>
    </row>
    <row r="16" ht="18" customHeight="1">
      <c r="A16" s="22" t="inlineStr">
        <is>
          <t>✅ Soumis      → Document reçu et validé</t>
        </is>
      </c>
      <c r="C16" s="22" t="inlineStr">
        <is>
          <t>✅ Soumis      → Document received and validated</t>
        </is>
      </c>
    </row>
    <row r="17" ht="18" customHeight="1">
      <c r="A17" s="22" t="inlineStr">
        <is>
          <t>⏳ En attente  → Document demandé, en cours de réception</t>
        </is>
      </c>
      <c r="C17" s="22" t="inlineStr">
        <is>
          <t>⏳ En attente  → Document requested, awaiting receipt</t>
        </is>
      </c>
    </row>
    <row r="18" ht="18" customHeight="1">
      <c r="A18" s="22" t="inlineStr">
        <is>
          <t>❌ Manquant    → Document non fourni</t>
        </is>
      </c>
      <c r="C18" s="22" t="inlineStr">
        <is>
          <t>❌ Manquant    → Document not provided</t>
        </is>
      </c>
    </row>
    <row r="19" ht="18" customHeight="1">
      <c r="A19" s="22" t="inlineStr">
        <is>
          <t>N/A           → Non applicable pour ce candidat</t>
        </is>
      </c>
      <c r="C19" s="22" t="inlineStr">
        <is>
          <t>N/A           → Not applicable for this candidate</t>
        </is>
      </c>
    </row>
    <row r="20" ht="18" customHeight="1">
      <c r="A20" s="22" t="inlineStr"/>
      <c r="C20" s="22" t="inlineStr"/>
    </row>
    <row r="21" ht="18" customHeight="1">
      <c r="A21" s="23" t="inlineStr">
        <is>
          <t>⚠️  Note importante</t>
        </is>
      </c>
      <c r="C21" s="23" t="inlineStr">
        <is>
          <t>⚠️  Important note</t>
        </is>
      </c>
    </row>
    <row r="22" ht="18" customHeight="1">
      <c r="A22" s="22" t="inlineStr"/>
      <c r="C22" s="22" t="inlineStr"/>
    </row>
    <row r="23" ht="18" customHeight="1">
      <c r="A23" s="22" t="inlineStr">
        <is>
          <t>Pour chaque nouveau candidat, dupliquez l'onglet 'Vérification Candidat'</t>
        </is>
      </c>
      <c r="C23" s="22" t="inlineStr">
        <is>
          <t>For each new candidate, duplicate the 'Vérification Candidat' tab</t>
        </is>
      </c>
    </row>
    <row r="24" ht="18" customHeight="1">
      <c r="A24" s="22" t="inlineStr">
        <is>
          <t>(clic droit sur l'onglet → Déplacer/Copier → Créer une copie)</t>
        </is>
      </c>
      <c r="C24" s="22" t="inlineStr">
        <is>
          <t>(right-click tab → Move/Copy → Create a copy)</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2026-03-13T23:03:08Z</dcterms:created>
  <dcterms:modified xsi:type="dcterms:W3CDTF">2026-03-15T13:59:47Z</dcterms:modified>
</cp:coreProperties>
</file>