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érification Candidat" sheetId="1" state="visible" r:id="rId1"/>
    <sheet name="Instructions" sheetId="2" state="visible" r:id="rId2"/>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3"/>
    </font>
    <font>
      <name val="Arial"/>
      <b val="1"/>
      <color rgb="001F3864"/>
      <sz val="9"/>
    </font>
    <font>
      <name val="Arial"/>
      <b val="1"/>
      <color rgb="001F3864"/>
      <sz val="10"/>
    </font>
    <font>
      <name val="Arial"/>
      <b val="1"/>
      <color rgb="001F3864"/>
      <sz val="11"/>
    </font>
    <font>
      <name val="Arial"/>
      <b val="1"/>
      <color rgb="00FFFFFF"/>
      <sz val="9"/>
    </font>
    <font>
      <name val="Arial"/>
      <color rgb="00000000"/>
      <sz val="9"/>
    </font>
    <font>
      <name val="Arial"/>
      <b val="1"/>
      <color rgb="00276221"/>
      <sz val="9"/>
    </font>
    <font>
      <name val="Arial"/>
      <b val="1"/>
      <color rgb="009C0006"/>
      <sz val="9"/>
    </font>
    <font>
      <name val="Arial"/>
      <b val="1"/>
      <color rgb="009C5700"/>
      <sz val="9"/>
    </font>
    <font>
      <name val="Arial"/>
      <i val="1"/>
      <color rgb="00555555"/>
      <sz val="8"/>
    </font>
    <font>
      <name val="Arial"/>
      <color rgb="00222222"/>
      <sz val="10"/>
    </font>
    <font>
      <name val="Arial"/>
      <sz val="9"/>
    </font>
  </fonts>
  <fills count="9">
    <fill>
      <patternFill/>
    </fill>
    <fill>
      <patternFill patternType="gray125"/>
    </fill>
    <fill>
      <patternFill patternType="solid">
        <fgColor rgb="001F3864"/>
      </patternFill>
    </fill>
    <fill>
      <patternFill patternType="solid">
        <fgColor rgb="00D9E1F2"/>
      </patternFill>
    </fill>
    <fill>
      <patternFill patternType="solid">
        <fgColor rgb="00FFFFFF"/>
      </patternFill>
    </fill>
    <fill>
      <patternFill patternType="solid">
        <fgColor rgb="00F2F5FB"/>
      </patternFill>
    </fill>
    <fill>
      <patternFill patternType="solid">
        <fgColor rgb="00C6EFCE"/>
      </patternFill>
    </fill>
    <fill>
      <patternFill patternType="solid">
        <fgColor rgb="00F2F2F2"/>
      </patternFill>
    </fill>
    <fill>
      <patternFill patternType="solid">
        <fgColor rgb="00FFC7CE"/>
      </patternFill>
    </fill>
  </fills>
  <borders count="3">
    <border>
      <left/>
      <right/>
      <top/>
      <bottom/>
      <diagonal/>
    </border>
    <border>
      <bottom style="thin">
        <color rgb="00555555"/>
      </bottom>
    </border>
    <border>
      <left style="thin">
        <color rgb="00AAAAAA"/>
      </left>
      <right style="thin">
        <color rgb="00AAAAAA"/>
      </right>
      <top style="thin">
        <color rgb="00AAAAAA"/>
      </top>
      <bottom style="thin">
        <color rgb="00AAAAAA"/>
      </bottom>
    </border>
  </borders>
  <cellStyleXfs count="1">
    <xf numFmtId="0" fontId="0" fillId="0" borderId="0"/>
  </cellStyleXfs>
  <cellXfs count="33">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center"/>
    </xf>
    <xf numFmtId="0" fontId="0" fillId="4" borderId="1" pivotButton="0" quotePrefix="0" xfId="0"/>
    <xf numFmtId="0" fontId="3" fillId="3" borderId="0" applyAlignment="1" pivotButton="0" quotePrefix="0" xfId="0">
      <alignment horizontal="left" vertical="center" wrapText="1"/>
    </xf>
    <xf numFmtId="0" fontId="4" fillId="3" borderId="0" applyAlignment="1" pivotButton="0" quotePrefix="0" xfId="0">
      <alignment horizontal="center" vertical="center" wrapText="1"/>
    </xf>
    <xf numFmtId="0" fontId="5" fillId="2" borderId="2" applyAlignment="1" pivotButton="0" quotePrefix="0" xfId="0">
      <alignment horizontal="center" vertical="center" wrapText="1"/>
    </xf>
    <xf numFmtId="0" fontId="2" fillId="5" borderId="2" applyAlignment="1" pivotButton="0" quotePrefix="0" xfId="0">
      <alignment horizontal="center" vertical="center"/>
    </xf>
    <xf numFmtId="0" fontId="6" fillId="5" borderId="2" applyAlignment="1" pivotButton="0" quotePrefix="0" xfId="0">
      <alignment horizontal="left" vertical="center" wrapText="1"/>
    </xf>
    <xf numFmtId="0" fontId="7" fillId="5" borderId="2" applyAlignment="1" pivotButton="0" quotePrefix="0" xfId="0">
      <alignment horizontal="center" vertical="center" wrapText="1"/>
    </xf>
    <xf numFmtId="0" fontId="6" fillId="5" borderId="2" applyAlignment="1" pivotButton="0" quotePrefix="0" xfId="0">
      <alignment horizontal="center" vertical="center" wrapText="1"/>
    </xf>
    <xf numFmtId="0" fontId="6" fillId="5" borderId="2" applyAlignment="1" pivotButton="0" quotePrefix="0" xfId="0">
      <alignment horizontal="center" vertical="center"/>
    </xf>
    <xf numFmtId="0" fontId="2" fillId="4" borderId="2" applyAlignment="1" pivotButton="0" quotePrefix="0" xfId="0">
      <alignment horizontal="center" vertical="center"/>
    </xf>
    <xf numFmtId="0" fontId="6" fillId="4" borderId="2" applyAlignment="1" pivotButton="0" quotePrefix="0" xfId="0">
      <alignment horizontal="left" vertical="center" wrapText="1"/>
    </xf>
    <xf numFmtId="0" fontId="8" fillId="4" borderId="2" applyAlignment="1" pivotButton="0" quotePrefix="0" xfId="0">
      <alignment horizontal="center" vertical="center" wrapText="1"/>
    </xf>
    <xf numFmtId="0" fontId="6" fillId="4" borderId="2" applyAlignment="1" pivotButton="0" quotePrefix="0" xfId="0">
      <alignment horizontal="center" vertical="center" wrapText="1"/>
    </xf>
    <xf numFmtId="0" fontId="6" fillId="4" borderId="2" applyAlignment="1" pivotButton="0" quotePrefix="0" xfId="0">
      <alignment horizontal="center" vertical="center"/>
    </xf>
    <xf numFmtId="0" fontId="9" fillId="4" borderId="2" applyAlignment="1" pivotButton="0" quotePrefix="0" xfId="0">
      <alignment horizontal="center" vertical="center" wrapText="1"/>
    </xf>
    <xf numFmtId="0" fontId="9" fillId="5" borderId="2" applyAlignment="1" pivotButton="0" quotePrefix="0" xfId="0">
      <alignment horizontal="center" vertical="center" wrapText="1"/>
    </xf>
    <xf numFmtId="0" fontId="7" fillId="4" borderId="2" applyAlignment="1" pivotButton="0" quotePrefix="0" xfId="0">
      <alignment horizontal="center" vertical="center" wrapText="1"/>
    </xf>
    <xf numFmtId="0" fontId="8" fillId="5" borderId="2" applyAlignment="1" pivotButton="0" quotePrefix="0" xfId="0">
      <alignment horizontal="center" vertical="center" wrapText="1"/>
    </xf>
    <xf numFmtId="0" fontId="10" fillId="3" borderId="0" applyAlignment="1" pivotButton="0" quotePrefix="0" xfId="0">
      <alignment horizontal="center" vertical="center" wrapText="1"/>
    </xf>
    <xf numFmtId="0" fontId="11" fillId="0" borderId="0" applyAlignment="1" pivotButton="0" quotePrefix="0" xfId="0">
      <alignment horizontal="left" vertical="center"/>
    </xf>
    <xf numFmtId="0" fontId="3" fillId="0" borderId="0" applyAlignment="1" pivotButton="0" quotePrefix="0" xfId="0">
      <alignment horizontal="left" vertical="center"/>
    </xf>
    <xf numFmtId="0" fontId="7" fillId="6" borderId="2" applyAlignment="1" pivotButton="0" quotePrefix="0" xfId="0">
      <alignment horizontal="center" vertical="center"/>
    </xf>
    <xf numFmtId="0" fontId="12" fillId="6" borderId="2" applyAlignment="1" pivotButton="0" quotePrefix="0" xfId="0">
      <alignment horizontal="center" vertical="center"/>
    </xf>
    <xf numFmtId="0" fontId="12" fillId="6" borderId="2" applyAlignment="1" pivotButton="0" quotePrefix="0" xfId="0">
      <alignment horizontal="left" vertical="center" wrapText="1"/>
    </xf>
    <xf numFmtId="0" fontId="8" fillId="7" borderId="2" applyAlignment="1" pivotButton="0" quotePrefix="0" xfId="0">
      <alignment horizontal="center" vertical="center"/>
    </xf>
    <xf numFmtId="0" fontId="12" fillId="7" borderId="2" applyAlignment="1" pivotButton="0" quotePrefix="0" xfId="0">
      <alignment horizontal="center" vertical="center"/>
    </xf>
    <xf numFmtId="0" fontId="12" fillId="7" borderId="2" applyAlignment="1" pivotButton="0" quotePrefix="0" xfId="0">
      <alignment horizontal="left" vertical="center" wrapText="1"/>
    </xf>
    <xf numFmtId="0" fontId="8" fillId="8" borderId="2" applyAlignment="1" pivotButton="0" quotePrefix="0" xfId="0">
      <alignment horizontal="center" vertical="center"/>
    </xf>
    <xf numFmtId="0" fontId="12" fillId="8" borderId="2" applyAlignment="1" pivotButton="0" quotePrefix="0" xfId="0">
      <alignment horizontal="center" vertical="center"/>
    </xf>
    <xf numFmtId="0" fontId="12" fillId="8" borderId="2" applyAlignment="1" pivotButton="0" quotePrefix="0" xfId="0">
      <alignment horizontal="left" vertical="center" wrapText="1"/>
    </xf>
  </cellXfs>
  <cellStyles count="1">
    <cellStyle name="Normal" xfId="0" builtinId="0" hidden="0"/>
  </cellStyles>
  <dxfs count="3">
    <dxf>
      <font>
        <name val="Arial"/>
        <b val="1"/>
        <color rgb="00276221"/>
        <sz val="9"/>
      </font>
      <fill>
        <patternFill patternType="solid">
          <fgColor rgb="00C6EFCE"/>
        </patternFill>
      </fill>
    </dxf>
    <dxf>
      <font>
        <name val="Arial"/>
        <b val="1"/>
        <color rgb="009C0006"/>
        <sz val="9"/>
      </font>
      <fill>
        <patternFill patternType="solid">
          <fgColor rgb="00FFC7CE"/>
        </patternFill>
      </fill>
    </dxf>
    <dxf>
      <font>
        <name val="Arial"/>
        <b val="1"/>
        <color rgb="009C5700"/>
        <sz val="9"/>
      </font>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7"/>
  <sheetViews>
    <sheetView showGridLines="0" workbookViewId="0">
      <selection activeCell="A1" sqref="A1"/>
    </sheetView>
  </sheetViews>
  <sheetFormatPr baseColWidth="8" defaultRowHeight="15"/>
  <cols>
    <col width="4" customWidth="1" min="1" max="1"/>
    <col width="36" customWidth="1" min="2" max="2"/>
    <col width="36" customWidth="1" min="3" max="3"/>
    <col width="16" customWidth="1" min="4" max="4"/>
    <col width="16" customWidth="1" min="5" max="5"/>
    <col width="18" customWidth="1" min="6" max="6"/>
    <col width="14" customWidth="1" min="7" max="7"/>
    <col width="14" customWidth="1" min="8" max="8"/>
    <col width="28" customWidth="1" min="9" max="9"/>
    <col width="16" customWidth="1" min="10" max="10"/>
  </cols>
  <sheetData>
    <row r="1" ht="32" customHeight="1">
      <c r="A1" s="1" t="inlineStr">
        <is>
          <t>Matrice de Vérification des Documents Candidat  |  Candidate Document Verification Matrix</t>
        </is>
      </c>
    </row>
    <row r="2" ht="22" customHeight="1">
      <c r="A2" s="2" t="inlineStr">
        <is>
          <t>Nom / Last Name:</t>
        </is>
      </c>
      <c r="B2" s="3" t="inlineStr"/>
      <c r="C2" s="2" t="inlineStr">
        <is>
          <t>Prénom / First Name:</t>
        </is>
      </c>
      <c r="D2" s="3" t="inlineStr"/>
      <c r="E2" s="2" t="inlineStr">
        <is>
          <t>Poste / Position:</t>
        </is>
      </c>
      <c r="F2" s="3" t="inlineStr"/>
      <c r="G2" s="2" t="inlineStr">
        <is>
          <t>Date entretien / Interview:</t>
        </is>
      </c>
      <c r="H2" s="3" t="inlineStr"/>
      <c r="I2" s="2" t="inlineStr">
        <is>
          <t>RH Responsable / HR Manager:</t>
        </is>
      </c>
      <c r="J2" s="3" t="inlineStr"/>
    </row>
    <row r="3" ht="6" customHeight="1"/>
    <row r="4" ht="24" customHeight="1">
      <c r="A4" s="4" t="inlineStr">
        <is>
          <t>Taux de complétion  /  Completion Rate</t>
        </is>
      </c>
      <c r="H4" s="5">
        <f>COUNTIF(E7:E26,"✅ Soumis") &amp; " / " &amp; COUNTA(A7:A26) &amp; "  (" &amp; TEXT(IFERROR(COUNTIF(E7:E26,"✅ Soumis")/COUNTA(A7:A26),0),"0%") &amp; ")"</f>
        <v/>
      </c>
    </row>
    <row r="5" ht="6" customHeight="1"/>
    <row r="6" ht="50" customHeight="1">
      <c r="A6" s="6" t="inlineStr">
        <is>
          <t>#</t>
        </is>
      </c>
      <c r="B6" s="6" t="inlineStr">
        <is>
          <t>Document (FR)</t>
        </is>
      </c>
      <c r="C6" s="6" t="inlineStr">
        <is>
          <t>Document (EN)</t>
        </is>
      </c>
      <c r="D6" s="6" t="inlineStr">
        <is>
          <t>Obligatoire?
Required?</t>
        </is>
      </c>
      <c r="E6" s="6" t="inlineStr">
        <is>
          <t>Statut
Status</t>
        </is>
      </c>
      <c r="F6" s="6" t="inlineStr">
        <is>
          <t>Vérifié par
Verified By</t>
        </is>
      </c>
      <c r="G6" s="6" t="inlineStr">
        <is>
          <t>Date de
vérification
Date Verified</t>
        </is>
      </c>
      <c r="H6" s="6" t="inlineStr">
        <is>
          <t>Date
d'expiration
Expiry Date</t>
        </is>
      </c>
      <c r="I6" s="6" t="inlineStr">
        <is>
          <t>Commentaires
Notes</t>
        </is>
      </c>
      <c r="J6" s="6" t="inlineStr">
        <is>
          <t>Alerte
Alert</t>
        </is>
      </c>
    </row>
    <row r="7" ht="30" customHeight="1">
      <c r="A7" s="7" t="n">
        <v>1</v>
      </c>
      <c r="B7" s="8" t="inlineStr">
        <is>
          <t>CV / Curriculum Vitae</t>
        </is>
      </c>
      <c r="C7" s="8" t="inlineStr">
        <is>
          <t>Resume / CV</t>
        </is>
      </c>
      <c r="D7" s="9" t="inlineStr">
        <is>
          <t>Oui / Yes</t>
        </is>
      </c>
      <c r="E7" s="24" t="inlineStr">
        <is>
          <t>✅ Soumis</t>
        </is>
      </c>
      <c r="F7" s="25" t="inlineStr">
        <is>
          <t>AI RAG System</t>
        </is>
      </c>
      <c r="G7" s="25" t="inlineStr">
        <is>
          <t>15/03/2026</t>
        </is>
      </c>
      <c r="H7" s="10" t="inlineStr"/>
      <c r="I7" s="26" t="inlineStr">
        <is>
          <t>[HIGH] L'extrait 1 provient du fichier cv_martin_dupont.md, page 1, et commence par le titre "Curriculum Vitae". Il comporte les informations typiques d'un CV : date de naissance, adresse, email, téléphone, profil professionnel, expériences et compétences. Le contenu correspond clairement au CV recherché. [cv_martin_dupont.md, p.1]</t>
        </is>
      </c>
      <c r="J7" s="11">
        <f>IF(AND(E7&lt;&gt;"✅ Soumis",E7&lt;&gt;"N/A"),"⚠️ Action requise","✅")</f>
        <v/>
      </c>
    </row>
    <row r="8" ht="30" customHeight="1">
      <c r="A8" s="12" t="n">
        <v>2</v>
      </c>
      <c r="B8" s="13" t="inlineStr">
        <is>
          <t>Lettre de motivation</t>
        </is>
      </c>
      <c r="C8" s="13" t="inlineStr">
        <is>
          <t>Cover Letter</t>
        </is>
      </c>
      <c r="D8" s="14" t="inlineStr">
        <is>
          <t>Non / No</t>
        </is>
      </c>
      <c r="E8" s="27" t="inlineStr">
        <is>
          <t>N/A</t>
        </is>
      </c>
      <c r="F8" s="28" t="inlineStr">
        <is>
          <t>AI RAG System</t>
        </is>
      </c>
      <c r="G8" s="28" t="inlineStr">
        <is>
          <t>15/03/2026</t>
        </is>
      </c>
      <c r="H8" s="15" t="inlineStr"/>
      <c r="I8" s="29" t="inlineStr">
        <is>
          <t>[LOW] Verdict non déterminé en raison d'une erreur : Error code: 400 - {'error': {'message': "Tool call validation failed: tool call validation failed: parameters for tool DocumentVerdict did not match schema: errors: [missing properties: 'confidence']", 'type': 'invalid_request_error', 'code': 'tool_use_failed', 'failed_generation': '{"name": "DocumentVerdict", "arguments": {\n  "high": "high",\n  "justification": "L\'extrait 1 correspond à une lettre de motivation complète : il comporte l\'objet, la formule d\'appel (Madame), la présentation du candidat, la description de son expérience, la motivation pour le poste, la formule de politesse et la signature. Les dates, le nom du destinataire et le poste visé sont clairement indiqués.",\n  "satisfied": true,\n  "source_file": "lettre_motivation.md",\n  "source_page": 1\n}}'}} [No matching document found]</t>
        </is>
      </c>
      <c r="J8" s="16">
        <f>IF(E8="❌ Manquant","⚠️ Vérifier","")</f>
        <v/>
      </c>
    </row>
    <row r="9" ht="30" customHeight="1">
      <c r="A9" s="7" t="n">
        <v>3</v>
      </c>
      <c r="B9" s="8" t="inlineStr">
        <is>
          <t>Pièce d'identité (CNI ou Passeport)</t>
        </is>
      </c>
      <c r="C9" s="8" t="inlineStr">
        <is>
          <t>ID Card or Passport</t>
        </is>
      </c>
      <c r="D9" s="9" t="inlineStr">
        <is>
          <t>Oui / Yes</t>
        </is>
      </c>
      <c r="E9" s="24" t="inlineStr">
        <is>
          <t>✅ Soumis</t>
        </is>
      </c>
      <c r="F9" s="25" t="inlineStr">
        <is>
          <t>AI RAG System</t>
        </is>
      </c>
      <c r="G9" s="25" t="inlineStr">
        <is>
          <t>15/03/2026</t>
        </is>
      </c>
      <c r="H9" s="10" t="inlineStr"/>
      <c r="I9" s="26" t="inlineStr">
        <is>
          <t>[HIGH] L'extrait 2 contient une Carte Nationale d'Identité (CNI) avec les champs requis : nom, prénoms, date et lieu de naissance, nationalité, numéro de pièce, dates de délivrance et d'expiration, autorité de délivrance, et mention de conformité. Le document correspond clairement à la pièce d'identité recherchée. [dossier_administratif_complet.md, p.47]</t>
        </is>
      </c>
      <c r="J9" s="11">
        <f>IF(AND(E9&lt;&gt;"✅ Soumis",E9&lt;&gt;"N/A"),"⚠️ Action requise","✅")</f>
        <v/>
      </c>
    </row>
    <row r="10" ht="30" customHeight="1">
      <c r="A10" s="12" t="n">
        <v>4</v>
      </c>
      <c r="B10" s="13" t="inlineStr">
        <is>
          <t>Titre de séjour (hors UE)</t>
        </is>
      </c>
      <c r="C10" s="13" t="inlineStr">
        <is>
          <t>Residence Permit (non-EU)</t>
        </is>
      </c>
      <c r="D10" s="17" t="inlineStr">
        <is>
          <t>Si applicable
If applicable</t>
        </is>
      </c>
      <c r="E10" s="27" t="inlineStr">
        <is>
          <t>N/A</t>
        </is>
      </c>
      <c r="F10" s="28" t="inlineStr">
        <is>
          <t>AI RAG System</t>
        </is>
      </c>
      <c r="G10" s="28" t="inlineStr">
        <is>
          <t>15/03/2026</t>
        </is>
      </c>
      <c r="H10" s="15" t="inlineStr"/>
      <c r="I10" s="29" t="inlineStr">
        <is>
          <t>[LOW] Aucun des extraits fournis ne contient de titre de séjour, carte de séjour ou toute mention de numéro d'identité, dates de délivrance/expiration, autorité délivrante ou autre indicateur d'un titre de séjour. Les documents présentés sont une attestation de droits à l'assurance maladie et des diplômes universitaires, donc le titre de séjour recherché est absent. [No matching document found]</t>
        </is>
      </c>
      <c r="J10" s="16">
        <f>IF(E10="❌ Manquant","⚠️ Vérifier","")</f>
        <v/>
      </c>
    </row>
    <row r="11" ht="30" customHeight="1">
      <c r="A11" s="7" t="n">
        <v>5</v>
      </c>
      <c r="B11" s="8" t="inlineStr">
        <is>
          <t>Autorisation de travail</t>
        </is>
      </c>
      <c r="C11" s="8" t="inlineStr">
        <is>
          <t>Work Permit / Authorization</t>
        </is>
      </c>
      <c r="D11" s="18" t="inlineStr">
        <is>
          <t>Si applicable
If applicable</t>
        </is>
      </c>
      <c r="E11" s="27" t="inlineStr">
        <is>
          <t>N/A</t>
        </is>
      </c>
      <c r="F11" s="28" t="inlineStr">
        <is>
          <t>AI RAG System</t>
        </is>
      </c>
      <c r="G11" s="28" t="inlineStr">
        <is>
          <t>15/03/2026</t>
        </is>
      </c>
      <c r="H11" s="10" t="inlineStr"/>
      <c r="I11" s="29" t="inlineStr">
        <is>
          <t>[HIGH] Les extraits fournis ne contiennent aucun document de type autorisation de travail. Ils ne mentionnent que le règlement intérieur (horaires, congés, absences) sans référence à un titre de séjour, visa, employeur, dates d'émission ou signature d'autorité. [No matching document found]</t>
        </is>
      </c>
      <c r="J11" s="11">
        <f>IF(E11="❌ Manquant","⚠️ Vérifier","")</f>
        <v/>
      </c>
    </row>
    <row r="12" ht="30" customHeight="1">
      <c r="A12" s="12" t="n">
        <v>6</v>
      </c>
      <c r="B12" s="13" t="inlineStr">
        <is>
          <t>Numéro de Sécurité Sociale / Carte Vitale</t>
        </is>
      </c>
      <c r="C12" s="13" t="inlineStr">
        <is>
          <t>Social Security Number / Health Card</t>
        </is>
      </c>
      <c r="D12" s="19" t="inlineStr">
        <is>
          <t>Oui / Yes</t>
        </is>
      </c>
      <c r="E12" s="24" t="inlineStr">
        <is>
          <t>✅ Soumis</t>
        </is>
      </c>
      <c r="F12" s="25" t="inlineStr">
        <is>
          <t>AI RAG System</t>
        </is>
      </c>
      <c r="G12" s="25" t="inlineStr">
        <is>
          <t>15/03/2026</t>
        </is>
      </c>
      <c r="H12" s="15" t="inlineStr"/>
      <c r="I12" s="26" t="inlineStr">
        <is>
          <t>[MEDIUM] L'extrait 1 contient une attestation de droits à l'Assurance Maladie émise par la CPAM de Paris, incluant le champ "Numero de Securite Sociale" avec la valeur 1 95 03 69 123 456 78. Il s'agit d'une preuve du numéro de sécurité sociale, mais le document n'est pas la Carte Vitale elle‑même (pas d'image ou de mention de la carte). Le numéro est clairement présent, ce qui satisfait partiellement la recherche. [securite_sociale_martin_dupont.md, p.1]</t>
        </is>
      </c>
      <c r="J12" s="16">
        <f>IF(AND(E12&lt;&gt;"✅ Soumis",E12&lt;&gt;"N/A"),"⚠️ Action requise","✅")</f>
        <v/>
      </c>
    </row>
    <row r="13" ht="30" customHeight="1">
      <c r="A13" s="7" t="n">
        <v>7</v>
      </c>
      <c r="B13" s="8" t="inlineStr">
        <is>
          <t>Diplômes &amp; Certificats</t>
        </is>
      </c>
      <c r="C13" s="8" t="inlineStr">
        <is>
          <t>Degrees &amp; Certificates</t>
        </is>
      </c>
      <c r="D13" s="9" t="inlineStr">
        <is>
          <t>Oui / Yes</t>
        </is>
      </c>
      <c r="E13" s="30" t="inlineStr">
        <is>
          <t>❌ Manquant</t>
        </is>
      </c>
      <c r="F13" s="31" t="inlineStr">
        <is>
          <t>AI RAG System</t>
        </is>
      </c>
      <c r="G13" s="31" t="inlineStr">
        <is>
          <t>15/03/2026</t>
        </is>
      </c>
      <c r="H13" s="10" t="inlineStr"/>
      <c r="I13" s="32" t="inlineStr">
        <is>
          <t>[LOW] Verdict non déterminé en raison d'une erreur : Error code: 400 - {'error': {'message': "Tool call validation failed: tool call validation failed: parameters for tool DocumentVerdict did not match schema: errors: [missing properties: 'confidence']", 'type': 'invalid_request_error', 'code': 'tool_use_failed', 'failed_generation': '{"name": "DocumentVerdict", "arguments": {\n  "high": "high",\n  "justification": "Les extraits 1 et 2 du fichier diplome_master_informatique.md contiennent le diplôme de Master de Monsieur DUPONT Martin délivré le 15 novembre 2019 par l\'Université Paris‑Saclay, avec numéro d\'enregistrement, mention \\"Très Bien\\", signature du président et sceau de l\'université, correspondant aux critères de diplômes et certificats.",\n  "satisfied": true,\n  "source_file": "diplome_master_informatique.md",\n  "source_page": 1\n}}'}} [No matching document found]</t>
        </is>
      </c>
      <c r="J13" s="11">
        <f>IF(AND(E13&lt;&gt;"✅ Soumis",E13&lt;&gt;"N/A"),"⚠️ Action requise","✅")</f>
        <v/>
      </c>
    </row>
    <row r="14" ht="30" customHeight="1">
      <c r="A14" s="12" t="n">
        <v>8</v>
      </c>
      <c r="B14" s="13" t="inlineStr">
        <is>
          <t>Attestation(s) de stage</t>
        </is>
      </c>
      <c r="C14" s="13" t="inlineStr">
        <is>
          <t>Internship Certificate(s)</t>
        </is>
      </c>
      <c r="D14" s="14" t="inlineStr">
        <is>
          <t>Non / No</t>
        </is>
      </c>
      <c r="E14" s="24" t="inlineStr">
        <is>
          <t>✅ Soumis</t>
        </is>
      </c>
      <c r="F14" s="25" t="inlineStr">
        <is>
          <t>AI RAG System</t>
        </is>
      </c>
      <c r="G14" s="25" t="inlineStr">
        <is>
          <t>15/03/2026</t>
        </is>
      </c>
      <c r="H14" s="15" t="inlineStr"/>
      <c r="I14" s="26" t="inlineStr">
        <is>
          <t>[HIGH] L'extrait 1 correspond à une attestation de stage : il comporte le titre, le nom du stagiaire (Monsieur DUPONT Martin), les dates de début et de fin (1er avril 2019 au 30 septembre 2019), la durée (6 mois), le poste occupé, le tuteur, les missions réalisées, la signature du directeur et le cachet de l'entreprise. Tous les éléments typiques d'une attestation de stage sont présents. [attestation_stage_startupai.md, p.1]</t>
        </is>
      </c>
      <c r="J14" s="16">
        <f>IF(E14="❌ Manquant","⚠️ Vérifier","")</f>
        <v/>
      </c>
    </row>
    <row r="15" ht="30" customHeight="1">
      <c r="A15" s="7" t="n">
        <v>9</v>
      </c>
      <c r="B15" s="8" t="inlineStr">
        <is>
          <t>Attestations d'emploi précédents</t>
        </is>
      </c>
      <c r="C15" s="8" t="inlineStr">
        <is>
          <t>Previous Employment Certificates</t>
        </is>
      </c>
      <c r="D15" s="9" t="inlineStr">
        <is>
          <t>Oui / Yes</t>
        </is>
      </c>
      <c r="E15" s="30" t="inlineStr">
        <is>
          <t>❌ Manquant</t>
        </is>
      </c>
      <c r="F15" s="31" t="inlineStr">
        <is>
          <t>AI RAG System</t>
        </is>
      </c>
      <c r="G15" s="31" t="inlineStr">
        <is>
          <t>15/03/2026</t>
        </is>
      </c>
      <c r="H15" s="10" t="inlineStr"/>
      <c r="I15" s="32" t="inlineStr">
        <is>
          <t>[HIGH] Aucun des extraits ne contient une attestation d'emploi ou un certificat de travail. L'extrait 1 est un contrat de travail signé, incluant des clauses et la date de signature, mais il ne mentionne pas de date d'entrée, de sortie, de poste occupé ou de signature du responsable en tant d'attestation d'emploi. Les extraits 2 et 3 décrivent des procédures d'accueil, sans aucun document de type attestation d'emploi. [No matching document found]</t>
        </is>
      </c>
      <c r="J15" s="11">
        <f>IF(AND(E15&lt;&gt;"✅ Soumis",E15&lt;&gt;"N/A"),"⚠️ Action requise","✅")</f>
        <v/>
      </c>
    </row>
    <row r="16" ht="30" customHeight="1">
      <c r="A16" s="12" t="n">
        <v>10</v>
      </c>
      <c r="B16" s="13" t="inlineStr">
        <is>
          <t>Justificatif de domicile (&lt; 3 mois)</t>
        </is>
      </c>
      <c r="C16" s="13" t="inlineStr">
        <is>
          <t>Proof of Address (&lt; 3 months)</t>
        </is>
      </c>
      <c r="D16" s="19" t="inlineStr">
        <is>
          <t>Oui / Yes</t>
        </is>
      </c>
      <c r="E16" s="30" t="inlineStr">
        <is>
          <t>❌ Manquant</t>
        </is>
      </c>
      <c r="F16" s="31" t="inlineStr">
        <is>
          <t>AI RAG System</t>
        </is>
      </c>
      <c r="G16" s="31" t="inlineStr">
        <is>
          <t>15/03/2026</t>
        </is>
      </c>
      <c r="H16" s="15" t="inlineStr"/>
      <c r="I16" s="32" t="inlineStr">
        <is>
          <t>[LOW] Aucun des extraits fournis ne contient de document de type justificatif de domicile (facture d'électricité, quittance de loyer, avis d'imposition, etc.). Les extraits portent sur un contrat de prestation, un contrat de travail et un diplôme, sans mention de date de délivrance ou d'adresse du candidat. Ainsi le justificatif de domicile n'est pas présent dans les fichiers disponibles. [No matching document found]</t>
        </is>
      </c>
      <c r="J16" s="16">
        <f>IF(AND(E16&lt;&gt;"✅ Soumis",E16&lt;&gt;"N/A"),"⚠️ Action requise","✅")</f>
        <v/>
      </c>
    </row>
    <row r="17" ht="30" customHeight="1">
      <c r="A17" s="7" t="n">
        <v>11</v>
      </c>
      <c r="B17" s="8" t="inlineStr">
        <is>
          <t>RIB — Relevé d'Identité Bancaire</t>
        </is>
      </c>
      <c r="C17" s="8" t="inlineStr">
        <is>
          <t>Bank Account Details (IBAN)</t>
        </is>
      </c>
      <c r="D17" s="9" t="inlineStr">
        <is>
          <t>Oui / Yes</t>
        </is>
      </c>
      <c r="E17" s="24" t="inlineStr">
        <is>
          <t>✅ Soumis</t>
        </is>
      </c>
      <c r="F17" s="25" t="inlineStr">
        <is>
          <t>AI RAG System</t>
        </is>
      </c>
      <c r="G17" s="25" t="inlineStr">
        <is>
          <t>15/03/2026</t>
        </is>
      </c>
      <c r="H17" s="10" t="inlineStr"/>
      <c r="I17" s="26" t="inlineStr">
        <is>
          <t>[HIGH] L'extrait 1 contient un Relevé d'Identité Bancaire complet du titulaire DUPONT Martin, avec le code banque, code guichet, numéro de compte, clé RIB, IBAN (FR76 1820 6000 2000 4002 9104 547) et BIC. La date d'émission (05 janvier 2025) est indiquée, ce qui correspond exactement au document recherché. [rib_credit_agricole.md, p.1]</t>
        </is>
      </c>
      <c r="J17" s="11">
        <f>IF(AND(E17&lt;&gt;"✅ Soumis",E17&lt;&gt;"N/A"),"⚠️ Action requise","✅")</f>
        <v/>
      </c>
    </row>
    <row r="18" ht="30" customHeight="1">
      <c r="A18" s="12" t="n">
        <v>12</v>
      </c>
      <c r="B18" s="13" t="inlineStr">
        <is>
          <t>Extrait de casier judiciaire (B3)</t>
        </is>
      </c>
      <c r="C18" s="13" t="inlineStr">
        <is>
          <t>Criminal Record Check</t>
        </is>
      </c>
      <c r="D18" s="19" t="inlineStr">
        <is>
          <t>Oui / Yes</t>
        </is>
      </c>
      <c r="E18" s="30" t="inlineStr">
        <is>
          <t>❌ Manquant</t>
        </is>
      </c>
      <c r="F18" s="31" t="inlineStr">
        <is>
          <t>AI RAG System</t>
        </is>
      </c>
      <c r="G18" s="31" t="inlineStr">
        <is>
          <t>15/03/2026</t>
        </is>
      </c>
      <c r="H18" s="15" t="inlineStr"/>
      <c r="I18" s="32" t="inlineStr">
        <is>
          <t>[LOW] Verdict non déterminé en raison d'une erreur : Error code: 400 - {'error': {'message': "Tool call validation failed: tool call validation failed: parameters for tool DocumentVerdict did not match schema: errors: [missing properties: 'confidence']", 'type': 'invalid_request_error', 'code': 'tool_use_failed', 'failed_generation': '{"name": "DocumentVerdict", "arguments": {\n  "high": "high",\n  "justification": "L\'extrait 1 du fichier \'casier_judiciaire_b3.md\' (page 1) correspond exactement à un extrait de casier judiciaire B3 : il comporte le titre BULLETIN N°3, le Ministère de la Justice comme émetteur, les informations d\'identité (Nom DUPONT, Prénom Martin, né le 14/03/1995 à Lyon), la mention d\'absence de condamnation, la date de délivrance du 15 octobre 2024, la référence CJN-2024-10-3847291 et le cachet officiel. Le document est toutefois expiré depuis le 15 janvier 2025, ce qui le rend non valide pour de nouvelles démarches.",\n  "satisfied": true,\n  "source_file": "casier_judiciaire_b3.md",\n  "source_page": 1\n}}'}} [No matching document found]</t>
        </is>
      </c>
      <c r="J18" s="16">
        <f>IF(AND(E18&lt;&gt;"✅ Soumis",E18&lt;&gt;"N/A"),"⚠️ Action requise","✅")</f>
        <v/>
      </c>
    </row>
    <row r="19" ht="30" customHeight="1">
      <c r="A19" s="7" t="n">
        <v>13</v>
      </c>
      <c r="B19" s="8" t="inlineStr">
        <is>
          <t>Lettre(s) de recommandation</t>
        </is>
      </c>
      <c r="C19" s="8" t="inlineStr">
        <is>
          <t>Reference / Recommendation Letter(s)</t>
        </is>
      </c>
      <c r="D19" s="20" t="inlineStr">
        <is>
          <t>Non / No</t>
        </is>
      </c>
      <c r="E19" s="27" t="inlineStr">
        <is>
          <t>N/A</t>
        </is>
      </c>
      <c r="F19" s="28" t="inlineStr">
        <is>
          <t>AI RAG System</t>
        </is>
      </c>
      <c r="G19" s="28" t="inlineStr">
        <is>
          <t>15/03/2026</t>
        </is>
      </c>
      <c r="H19" s="10" t="inlineStr"/>
      <c r="I19" s="29" t="inlineStr">
        <is>
          <t>[LOW] Aucun des extraits fournis ne correspond à une lettre de recommandation. Les documents présents sont un contrat de prestation, une lettre de motivation et un diplôme. Aucun texte ne comporte les éléments typiques d'une recommandation (objet, mention de recommandation, coordonnées du référent, signature). [No matching document found]</t>
        </is>
      </c>
      <c r="J19" s="11">
        <f>IF(E19="❌ Manquant","⚠️ Vérifier","")</f>
        <v/>
      </c>
    </row>
    <row r="20" ht="30" customHeight="1">
      <c r="A20" s="12" t="n">
        <v>14</v>
      </c>
      <c r="B20" s="13" t="inlineStr">
        <is>
          <t>Résultats de la vérification des antécédents</t>
        </is>
      </c>
      <c r="C20" s="13" t="inlineStr">
        <is>
          <t>Background Check Results</t>
        </is>
      </c>
      <c r="D20" s="19" t="inlineStr">
        <is>
          <t>Oui / Yes</t>
        </is>
      </c>
      <c r="E20" s="30" t="inlineStr">
        <is>
          <t>❌ Manquant</t>
        </is>
      </c>
      <c r="F20" s="31" t="inlineStr">
        <is>
          <t>AI RAG System</t>
        </is>
      </c>
      <c r="G20" s="31" t="inlineStr">
        <is>
          <t>15/03/2026</t>
        </is>
      </c>
      <c r="H20" s="15" t="inlineStr"/>
      <c r="I20" s="32" t="inlineStr">
        <is>
          <t>[HIGH] Aucun des extraits fournis ne contient de document intitulé ou décrivant des résultats de vérification des antécédents, des références professionnelles, un casier judiciaire ou un certificat de bonne conduite. Les extraits portent uniquement sur un diplôme de master et des procédures d'accueil, donc le document recherché est absent. [No matching document found]</t>
        </is>
      </c>
      <c r="J20" s="16">
        <f>IF(AND(E20&lt;&gt;"✅ Soumis",E20&lt;&gt;"N/A"),"⚠️ Action requise","✅")</f>
        <v/>
      </c>
    </row>
    <row r="21" ht="30" customHeight="1">
      <c r="A21" s="7" t="n">
        <v>15</v>
      </c>
      <c r="B21" s="8" t="inlineStr">
        <is>
          <t>Photo d'identité</t>
        </is>
      </c>
      <c r="C21" s="8" t="inlineStr">
        <is>
          <t>Passport-size Photo</t>
        </is>
      </c>
      <c r="D21" s="9" t="inlineStr">
        <is>
          <t>Oui / Yes</t>
        </is>
      </c>
      <c r="E21" s="30" t="inlineStr">
        <is>
          <t>❌ Manquant</t>
        </is>
      </c>
      <c r="F21" s="31" t="inlineStr">
        <is>
          <t>AI RAG System</t>
        </is>
      </c>
      <c r="G21" s="31" t="inlineStr">
        <is>
          <t>15/03/2026</t>
        </is>
      </c>
      <c r="H21" s="10" t="inlineStr"/>
      <c r="I21" s="32" t="inlineStr">
        <is>
          <t>[LOW] Aucun des extraits fournis ne contient de photo d'identité ou toute référence à une image au format passeport. Les documents présentés sont un diplôme, une fiche de contact d'urgence et un extrait de casier judiciaire, aucun ne correspond au type recherché. [No matching document found]</t>
        </is>
      </c>
      <c r="J21" s="11">
        <f>IF(AND(E21&lt;&gt;"✅ Soumis",E21&lt;&gt;"N/A"),"⚠️ Action requise","✅")</f>
        <v/>
      </c>
    </row>
    <row r="22" ht="30" customHeight="1">
      <c r="A22" s="12" t="n">
        <v>16</v>
      </c>
      <c r="B22" s="13" t="inlineStr">
        <is>
          <t>Carte de visite professionnelle</t>
        </is>
      </c>
      <c r="C22" s="13" t="inlineStr">
        <is>
          <t>Professional Business Card</t>
        </is>
      </c>
      <c r="D22" s="14" t="inlineStr">
        <is>
          <t>Non / No</t>
        </is>
      </c>
      <c r="E22" s="27" t="inlineStr">
        <is>
          <t>N/A</t>
        </is>
      </c>
      <c r="F22" s="28" t="inlineStr">
        <is>
          <t>AI RAG System</t>
        </is>
      </c>
      <c r="G22" s="28" t="inlineStr">
        <is>
          <t>15/03/2026</t>
        </is>
      </c>
      <c r="H22" s="15" t="inlineStr"/>
      <c r="I22" s="29" t="inlineStr">
        <is>
          <t>[LOW] Aucun des extraits fournis ne contient les informations typiques d'une carte de visite professionnelle (nom, fonction, entreprise, coordonnées, SIREN, etc.). Les documents présentés sont un diplôme, une attestation de sécurité sociale et une lettre de motivation, aucun ne correspond à une carte de visite. [No matching document found]</t>
        </is>
      </c>
      <c r="J22" s="16">
        <f>IF(E22="❌ Manquant","⚠️ Vérifier","")</f>
        <v/>
      </c>
    </row>
    <row r="23" ht="30" customHeight="1">
      <c r="A23" s="7" t="n">
        <v>17</v>
      </c>
      <c r="B23" s="8" t="inlineStr">
        <is>
          <t>Convention NDA / Confidentialité</t>
        </is>
      </c>
      <c r="C23" s="8" t="inlineStr">
        <is>
          <t>NDA / Confidentiality Agreement</t>
        </is>
      </c>
      <c r="D23" s="9" t="inlineStr">
        <is>
          <t>Oui / Yes</t>
        </is>
      </c>
      <c r="E23" s="30" t="inlineStr">
        <is>
          <t>❌ Manquant</t>
        </is>
      </c>
      <c r="F23" s="31" t="inlineStr">
        <is>
          <t>AI RAG System</t>
        </is>
      </c>
      <c r="G23" s="31" t="inlineStr">
        <is>
          <t>15/03/2026</t>
        </is>
      </c>
      <c r="H23" s="10" t="inlineStr"/>
      <c r="I23" s="32" t="inlineStr">
        <is>
          <t>[HIGH] Aucun des extraits fournis ne contient de texte correspondant à une convention de confidentialité (NDA). Les documents présentés sont un diplôme de master et un contrat de prestation de services, sans clauses de non-divulgation, signatures d'accord de confidentialité ou mentions similaires. [No matching document found]</t>
        </is>
      </c>
      <c r="J23" s="11">
        <f>IF(AND(E23&lt;&gt;"✅ Soumis",E23&lt;&gt;"N/A"),"⚠️ Action requise","✅")</f>
        <v/>
      </c>
    </row>
    <row r="24" ht="30" customHeight="1">
      <c r="A24" s="12" t="n">
        <v>18</v>
      </c>
      <c r="B24" s="13" t="inlineStr">
        <is>
          <t>Certificat médical d'aptitude</t>
        </is>
      </c>
      <c r="C24" s="13" t="inlineStr">
        <is>
          <t>Medical Fitness Certificate</t>
        </is>
      </c>
      <c r="D24" s="17" t="inlineStr">
        <is>
          <t>Si applicable
If applicable</t>
        </is>
      </c>
      <c r="E24" s="27" t="inlineStr">
        <is>
          <t>N/A</t>
        </is>
      </c>
      <c r="F24" s="28" t="inlineStr">
        <is>
          <t>AI RAG System</t>
        </is>
      </c>
      <c r="G24" s="28" t="inlineStr">
        <is>
          <t>15/03/2026</t>
        </is>
      </c>
      <c r="H24" s="15" t="inlineStr"/>
      <c r="I24" s="29" t="inlineStr">
        <is>
          <t>[LOW] Aucun des extraits fournis ne contient de certificat médical d'aptitude. Les documents présentés sont un diplôme de master et un règlement intérieur mentionnant la nécessité d'un justificatif médical, mais aucun certificat médical réel n'est présent. [No matching document found]</t>
        </is>
      </c>
      <c r="J24" s="16">
        <f>IF(E24="❌ Manquant","⚠️ Vérifier","")</f>
        <v/>
      </c>
    </row>
    <row r="25" ht="30" customHeight="1">
      <c r="A25" s="7" t="n">
        <v>19</v>
      </c>
      <c r="B25" s="8" t="inlineStr">
        <is>
          <t>Contrat de travail signé</t>
        </is>
      </c>
      <c r="C25" s="8" t="inlineStr">
        <is>
          <t>Signed Employment Contract</t>
        </is>
      </c>
      <c r="D25" s="9" t="inlineStr">
        <is>
          <t>Oui / Yes</t>
        </is>
      </c>
      <c r="E25" s="30" t="inlineStr">
        <is>
          <t>❌ Manquant</t>
        </is>
      </c>
      <c r="F25" s="31" t="inlineStr">
        <is>
          <t>AI RAG System</t>
        </is>
      </c>
      <c r="G25" s="31" t="inlineStr">
        <is>
          <t>15/03/2026</t>
        </is>
      </c>
      <c r="H25" s="10" t="inlineStr"/>
      <c r="I25" s="32" t="inlineStr">
        <is>
          <t>[HIGH] Les extraits fournis ne contiennent aucun contrat de travail signé : ils ne présentent que des sections du règlement intérieur (horaires, congés, absences) sans mention de parties, dates de signature, rémunération ou signatures du salarié et de l'employeur. Aucun élément caractéristique d'un contrat d'emploi n'est présent. [No matching document found]</t>
        </is>
      </c>
      <c r="J25" s="11">
        <f>IF(AND(E25&lt;&gt;"✅ Soumis",E25&lt;&gt;"N/A"),"⚠️ Action requise","✅")</f>
        <v/>
      </c>
    </row>
    <row r="26" ht="30" customHeight="1">
      <c r="A26" s="12" t="n">
        <v>20</v>
      </c>
      <c r="B26" s="13" t="inlineStr">
        <is>
          <t>Informations de contact d'urgence</t>
        </is>
      </c>
      <c r="C26" s="13" t="inlineStr">
        <is>
          <t>Emergency Contact Information</t>
        </is>
      </c>
      <c r="D26" s="19" t="inlineStr">
        <is>
          <t>Oui / Yes</t>
        </is>
      </c>
      <c r="E26" s="24" t="inlineStr">
        <is>
          <t>✅ Soumis</t>
        </is>
      </c>
      <c r="F26" s="25" t="inlineStr">
        <is>
          <t>AI RAG System</t>
        </is>
      </c>
      <c r="G26" s="25" t="inlineStr">
        <is>
          <t>15/03/2026</t>
        </is>
      </c>
      <c r="H26" s="15" t="inlineStr"/>
      <c r="I26" s="26" t="inlineStr">
        <is>
          <t>[HIGH] Le fichier contact_urgence.md, page 1, contient une fiche de contact d'urgence complète avec le nom du salarié (DUPONT Martin), les contacts principaux et secondaires (nom, lien, téléphone, email, adresse), ainsi que le médecin traitant et la signature du salarié datée du 20 mars 2025. Tous les éléments typiques (nom, prénom, relation, téléphone, email, adresse) sont présents. [contact_urgence.md, p.1]</t>
        </is>
      </c>
      <c r="J26" s="16">
        <f>IF(AND(E26&lt;&gt;"✅ Soumis",E26&lt;&gt;"N/A"),"⚠️ Action requise","✅")</f>
        <v/>
      </c>
    </row>
    <row r="27" ht="18" customHeight="1">
      <c r="A27" s="21" t="inlineStr">
        <is>
          <t>Statuts / Statuses :   ✅ Soumis (Submitted)   |   ⏳ En attente (Pending)   |   ❌ Manquant (Missing)   |   N/A (Non applicable)</t>
        </is>
      </c>
    </row>
  </sheetData>
  <mergeCells count="8">
    <mergeCell ref="A1:J1"/>
    <mergeCell ref="A27:J27"/>
    <mergeCell ref="A4:G4"/>
    <mergeCell ref="H4:J4"/>
    <mergeCell ref="A2"/>
    <mergeCell ref="B2"/>
    <mergeCell ref="D2"/>
    <mergeCell ref="C2"/>
  </mergeCells>
  <conditionalFormatting sqref="E7:E26">
    <cfRule type="expression" priority="1" dxfId="0">
      <formula>E7="✅ Soumis"</formula>
    </cfRule>
    <cfRule type="expression" priority="2" dxfId="1">
      <formula>E7="❌ Manquant"</formula>
    </cfRule>
    <cfRule type="expression" priority="3" dxfId="2">
      <formula>E7="⏳ En attente"</formula>
    </cfRule>
  </conditionalFormatting>
  <conditionalFormatting sqref="J7:J26">
    <cfRule type="expression" priority="4" dxfId="1">
      <formula>J7="⚠️ Action requise"</formula>
    </cfRule>
    <cfRule type="expression" priority="5" dxfId="0">
      <formula>J7="✅"</formula>
    </cfRule>
  </conditionalFormatting>
  <dataValidations count="1">
    <dataValidation sqref="E7:E26" showDropDown="0" showInputMessage="0" showErrorMessage="0" allowBlank="1" type="list">
      <formula1>"✅ Soumis,⏳ En attente,❌ Manquant,N/A"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4"/>
  <sheetViews>
    <sheetView showGridLines="0" workbookViewId="0">
      <selection activeCell="A1" sqref="A1"/>
    </sheetView>
  </sheetViews>
  <sheetFormatPr baseColWidth="8" defaultRowHeight="15"/>
  <cols>
    <col width="60" customWidth="1" min="1" max="1"/>
    <col width="4" customWidth="1" min="2" max="2"/>
    <col width="60" customWidth="1" min="3" max="3"/>
  </cols>
  <sheetData>
    <row r="1" ht="30" customHeight="1">
      <c r="A1" s="1" t="inlineStr">
        <is>
          <t>Guide d'utilisation  |  User Guide</t>
        </is>
      </c>
    </row>
    <row r="3" ht="18" customHeight="1">
      <c r="A3" s="22" t="inlineStr"/>
      <c r="C3" s="22" t="inlineStr"/>
    </row>
    <row r="4" ht="18" customHeight="1">
      <c r="A4" s="23" t="inlineStr">
        <is>
          <t>🇫🇷  Comment utiliser ce fichier</t>
        </is>
      </c>
      <c r="C4" s="23" t="inlineStr">
        <is>
          <t>🇬🇧  How to use this file</t>
        </is>
      </c>
    </row>
    <row r="5" ht="18" customHeight="1">
      <c r="A5" s="22" t="inlineStr"/>
      <c r="C5" s="22" t="inlineStr"/>
    </row>
    <row r="6" ht="18" customHeight="1">
      <c r="A6" s="22" t="inlineStr">
        <is>
          <t>1. Remplissez les infos candidat en haut (ligne 2)</t>
        </is>
      </c>
      <c r="C6" s="22" t="inlineStr">
        <is>
          <t>1. Fill in candidate info at the top (row 2)</t>
        </is>
      </c>
    </row>
    <row r="7" ht="18" customHeight="1">
      <c r="A7" s="22" t="inlineStr">
        <is>
          <t>2. Pour chaque document, sélectionnez le Statut dans la colonne E (liste déroulante)</t>
        </is>
      </c>
      <c r="C7" s="22" t="inlineStr">
        <is>
          <t>2. For each document, select the Status in column E (dropdown)</t>
        </is>
      </c>
    </row>
    <row r="8" ht="18" customHeight="1">
      <c r="A8" s="22" t="inlineStr">
        <is>
          <t>3. Indiquez votre nom dans 'Vérifié par' et la date de vérification</t>
        </is>
      </c>
      <c r="C8" s="22" t="inlineStr">
        <is>
          <t>3. Enter your name in 'Verified By' and the verification date</t>
        </is>
      </c>
    </row>
    <row r="9" ht="18" customHeight="1">
      <c r="A9" s="22" t="inlineStr">
        <is>
          <t>4. Ajoutez une date d'expiration si le document a une validité limitée</t>
        </is>
      </c>
      <c r="C9" s="22" t="inlineStr">
        <is>
          <t>4. Add an expiry date if the document has limited validity</t>
        </is>
      </c>
    </row>
    <row r="10" ht="18" customHeight="1">
      <c r="A10" s="22" t="inlineStr">
        <is>
          <t>5. Utilisez la colonne Commentaires pour tout remarque (ex: 'Expiré', 'Incomplet')</t>
        </is>
      </c>
      <c r="C10" s="22" t="inlineStr">
        <is>
          <t>5. Use the Notes column for any remarks (e.g. 'Expired', 'Incomplete')</t>
        </is>
      </c>
    </row>
    <row r="11" ht="18" customHeight="1">
      <c r="A11" s="22" t="inlineStr">
        <is>
          <t>6. La colonne Alerte se met à jour automatiquement</t>
        </is>
      </c>
      <c r="C11" s="22" t="inlineStr">
        <is>
          <t>6. The Alert column updates automatically</t>
        </is>
      </c>
    </row>
    <row r="12" ht="18" customHeight="1">
      <c r="A12" s="22" t="inlineStr">
        <is>
          <t>7. Le taux de complétion en haut se calcule automatiquement</t>
        </is>
      </c>
      <c r="C12" s="22" t="inlineStr">
        <is>
          <t>7. The completion rate at the top is auto-calculated</t>
        </is>
      </c>
    </row>
    <row r="13" ht="18" customHeight="1">
      <c r="A13" s="22" t="inlineStr"/>
      <c r="C13" s="22" t="inlineStr"/>
    </row>
    <row r="14" ht="18" customHeight="1">
      <c r="A14" s="23" t="inlineStr">
        <is>
          <t>📋  Valeurs de Statut disponibles</t>
        </is>
      </c>
      <c r="C14" s="23" t="inlineStr">
        <is>
          <t>📋  Available Status values</t>
        </is>
      </c>
    </row>
    <row r="15" ht="18" customHeight="1">
      <c r="A15" s="22" t="inlineStr"/>
      <c r="C15" s="22" t="inlineStr"/>
    </row>
    <row r="16" ht="18" customHeight="1">
      <c r="A16" s="22" t="inlineStr">
        <is>
          <t>✅ Soumis      → Document reçu et validé</t>
        </is>
      </c>
      <c r="C16" s="22" t="inlineStr">
        <is>
          <t>✅ Soumis      → Document received and validated</t>
        </is>
      </c>
    </row>
    <row r="17" ht="18" customHeight="1">
      <c r="A17" s="22" t="inlineStr">
        <is>
          <t>⏳ En attente  → Document demandé, en cours de réception</t>
        </is>
      </c>
      <c r="C17" s="22" t="inlineStr">
        <is>
          <t>⏳ En attente  → Document requested, awaiting receipt</t>
        </is>
      </c>
    </row>
    <row r="18" ht="18" customHeight="1">
      <c r="A18" s="22" t="inlineStr">
        <is>
          <t>❌ Manquant    → Document non fourni</t>
        </is>
      </c>
      <c r="C18" s="22" t="inlineStr">
        <is>
          <t>❌ Manquant    → Document not provided</t>
        </is>
      </c>
    </row>
    <row r="19" ht="18" customHeight="1">
      <c r="A19" s="22" t="inlineStr">
        <is>
          <t>N/A           → Non applicable pour ce candidat</t>
        </is>
      </c>
      <c r="C19" s="22" t="inlineStr">
        <is>
          <t>N/A           → Not applicable for this candidate</t>
        </is>
      </c>
    </row>
    <row r="20" ht="18" customHeight="1">
      <c r="A20" s="22" t="inlineStr"/>
      <c r="C20" s="22" t="inlineStr"/>
    </row>
    <row r="21" ht="18" customHeight="1">
      <c r="A21" s="23" t="inlineStr">
        <is>
          <t>⚠️  Note importante</t>
        </is>
      </c>
      <c r="C21" s="23" t="inlineStr">
        <is>
          <t>⚠️  Important note</t>
        </is>
      </c>
    </row>
    <row r="22" ht="18" customHeight="1">
      <c r="A22" s="22" t="inlineStr"/>
      <c r="C22" s="22" t="inlineStr"/>
    </row>
    <row r="23" ht="18" customHeight="1">
      <c r="A23" s="22" t="inlineStr">
        <is>
          <t>Pour chaque nouveau candidat, dupliquez l'onglet 'Vérification Candidat'</t>
        </is>
      </c>
      <c r="C23" s="22" t="inlineStr">
        <is>
          <t>For each new candidate, duplicate the 'Vérification Candidat' tab</t>
        </is>
      </c>
    </row>
    <row r="24" ht="18" customHeight="1">
      <c r="A24" s="22" t="inlineStr">
        <is>
          <t>(clic droit sur l'onglet → Déplacer/Copier → Créer une copie)</t>
        </is>
      </c>
      <c r="C24" s="22" t="inlineStr">
        <is>
          <t>(right-click tab → Move/Copy → Create a copy)</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2026-03-13T23:03:08Z</dcterms:created>
  <dcterms:modified xsi:type="dcterms:W3CDTF">2026-03-15T19:48:13Z</dcterms:modified>
</cp:coreProperties>
</file>